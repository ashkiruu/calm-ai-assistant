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869b5d01f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898f04d856f4ea4"/>
    <x:sheet xmlns:r="http://schemas.openxmlformats.org/officeDocument/2006/relationships" name="CALM + Unity" sheetId="2" r:id="R92b60e992b854a9f"/>
    <x:sheet xmlns:r="http://schemas.openxmlformats.org/officeDocument/2006/relationships" name="Tutorial" sheetId="3" r:id="R63ad3289945c4d9f"/>
    <x:sheet xmlns:r="http://schemas.openxmlformats.org/officeDocument/2006/relationships" name="EQ Home" sheetId="4" r:id="R38e0835da7854a81"/>
    <x:sheet xmlns:r="http://schemas.openxmlformats.org/officeDocument/2006/relationships" name="EQ School" sheetId="5" r:id="Reeb0928b80654043"/>
    <x:sheet xmlns:r="http://schemas.openxmlformats.org/officeDocument/2006/relationships" name="EQ Outdoor" sheetId="6" r:id="R433bbe1f1aff4e5d"/>
    <x:sheet xmlns:r="http://schemas.openxmlformats.org/officeDocument/2006/relationships" name="Fire Home" sheetId="7" r:id="Rb585e8757a654de4"/>
    <x:sheet xmlns:r="http://schemas.openxmlformats.org/officeDocument/2006/relationships" name="Fire School" sheetId="8" r:id="Reefa9f45bee346d6"/>
    <x:sheet xmlns:r="http://schemas.openxmlformats.org/officeDocument/2006/relationships" name="Fire Outdoor" sheetId="9" r:id="R28d6554edfcd4b0c"/>
    <x:sheet xmlns:r="http://schemas.openxmlformats.org/officeDocument/2006/relationships" name="Typhoon Home" sheetId="10" r:id="R3342a234299147bc"/>
    <x:sheet xmlns:r="http://schemas.openxmlformats.org/officeDocument/2006/relationships" name="Typhoon School" sheetId="11" r:id="Rf69b6636fd2f4224"/>
    <x:sheet xmlns:r="http://schemas.openxmlformats.org/officeDocument/2006/relationships" name="Typhoon Outdoor" sheetId="12" r:id="R728aba5a772647b3"/>
    <x:sheet xmlns:r="http://schemas.openxmlformats.org/officeDocument/2006/relationships" name="EQ Audit" sheetId="13" r:id="R19af0ecd8299468a"/>
    <x:sheet xmlns:r="http://schemas.openxmlformats.org/officeDocument/2006/relationships" name="Decisions" sheetId="14" r:id="R0209684bb8cc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5D6B78"/>
      <x:name val="Aptos"/>
    </x:font>
    <x:font>
      <x:b/>
      <x:sz val="11"/>
      <x:color rgb="FF18212B"/>
      <x:name val="Carlito"/>
    </x:font>
    <x:font>
      <x:sz val="11"/>
      <x:color rgb="FF244A68"/>
      <x:name val="Carlito"/>
    </x:font>
    <x:font>
      <x:b/>
      <x:sz val="11"/>
      <x:color rgb="FFFFFFFF"/>
      <x:name val="Carlito"/>
    </x:font>
    <x:font>
      <x:b/>
      <x:sz val="11"/>
      <x:color rgb="FFC97713"/>
      <x:name val="Carlito"/>
    </x:font>
    <x:font>
      <x:b/>
      <x:sz val="11"/>
      <x:color rgb="FF0F766E"/>
      <x:name val="Carlito"/>
    </x:font>
    <x:font>
      <x:b/>
      <x:sz val="11"/>
      <x:color rgb="FFB93B32"/>
      <x:name val="Carlito"/>
    </x:font>
    <x:font>
      <x:b/>
      <x:sz val="11"/>
      <x:color rgb="FF2874A6"/>
      <x:name val="Carlito"/>
    </x:font>
    <x:font>
      <x:b/>
      <x:sz val="11"/>
      <x:color rgb="FF17324D"/>
      <x:name val="Carlito"/>
    </x:font>
    <x:font>
      <x:b/>
      <x:sz val="11"/>
      <x:name val="Carlito"/>
    </x:font>
    <x:font>
      <x:i/>
      <x:sz val="11"/>
      <x:color rgb="FF244A68"/>
      <x:name val="Carlito"/>
    </x:font>
    <x:font>
      <x:sz val="11"/>
      <x:color rgb="FFA9312C"/>
      <x:name val="Carlito"/>
    </x:font>
    <x:font>
      <x:b/>
      <x:sz val="11"/>
      <x:color rgb="FF6D5A8D"/>
      <x:name val="Carlito"/>
    </x:font>
    <x:font>
      <x:b/>
      <x:sz val="11"/>
      <x:color rgb="FF244A68"/>
      <x:name val="Carlito"/>
    </x:font>
    <x:font>
      <x:sz val="11"/>
      <x:color rgb="FF18212B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C97713"/>
      </x:patternFill>
    </x:fill>
    <x:fill>
      <x:patternFill patternType="solid">
        <x:fgColor rgb="FFF3F6F8"/>
      </x:patternFill>
    </x:fill>
    <x:fill>
      <x:patternFill patternType="solid">
        <x:fgColor rgb="FFFFF0D5"/>
      </x:patternFill>
    </x:fill>
    <x:fill>
      <x:patternFill patternType="solid">
        <x:fgColor rgb="FFFFF8E8"/>
      </x:patternFill>
    </x:fill>
    <x:fill>
      <x:patternFill patternType="solid">
        <x:fgColor rgb="FFB93B32"/>
      </x:patternFill>
    </x:fill>
    <x:fill>
      <x:patternFill patternType="solid">
        <x:fgColor rgb="FFFDE5E2"/>
      </x:patternFill>
    </x:fill>
    <x:fill>
      <x:patternFill patternType="solid">
        <x:fgColor rgb="FF2874A6"/>
      </x:patternFill>
    </x:fill>
    <x:fill>
      <x:patternFill patternType="solid">
        <x:fgColor rgb="FFE3F1FA"/>
      </x:patternFill>
    </x:fill>
    <x:fill>
      <x:patternFill patternType="solid">
        <x:fgColor rgb="FF17324D"/>
      </x:patternFill>
    </x:fill>
    <x:fill>
      <x:patternFill patternType="solid">
        <x:fgColor rgb="FFDDF4EF"/>
      </x:patternFill>
    </x:fill>
    <x:fill>
      <x:patternFill patternType="solid">
        <x:fgColor rgb="FF244A6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A9312C"/>
      </x:patternFill>
    </x:fill>
    <x:fill>
      <x:patternFill patternType="solid">
        <x:fgColor rgb="FFFBE2E0"/>
      </x:patternFill>
    </x:fill>
    <x:fill>
      <x:patternFill patternType="solid">
        <x:fgColor rgb="FF6D5A8D"/>
      </x:patternFill>
    </x:fill>
    <x:fill>
      <x:patternFill patternType="solid">
        <x:fgColor rgb="FFEFE8F7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FFF0D5"/>
      </x:patternFill>
    </x:fill>
    <x:fill>
      <x:patternFill patternType="solid">
        <x:fgColor rgb="FFE7EEF4"/>
      </x:patternFill>
    </x:fill>
  </x:fills>
  <x:borders count="15">
    <x:border/>
    <x:border>
      <x:left style="medium">
        <x:color rgb="FFC97713"/>
      </x:left>
      <x:top style="medium">
        <x:color rgb="FFC97713"/>
      </x:top>
      <x:bottom style="medium">
        <x:color rgb="FFC97713"/>
      </x:bottom>
    </x:border>
    <x:border>
      <x:top style="medium">
        <x:color rgb="FFC97713"/>
      </x:top>
      <x:bottom style="medium">
        <x:color rgb="FFC97713"/>
      </x:bottom>
    </x:border>
    <x:border>
      <x:right style="medium">
        <x:color rgb="FFC97713"/>
      </x:right>
      <x:top style="medium">
        <x:color rgb="FFC97713"/>
      </x:top>
      <x:bottom style="medium">
        <x:color rgb="FFC97713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left style="medium">
        <x:color rgb="FFB93B32"/>
      </x:left>
      <x:top style="medium">
        <x:color rgb="FFB93B32"/>
      </x:top>
      <x:bottom style="medium">
        <x:color rgb="FFB93B32"/>
      </x:bottom>
    </x:border>
    <x:border>
      <x:top style="medium">
        <x:color rgb="FFB93B32"/>
      </x:top>
      <x:bottom style="medium">
        <x:color rgb="FFB93B32"/>
      </x:bottom>
    </x:border>
    <x:border>
      <x:right style="medium">
        <x:color rgb="FFB93B32"/>
      </x:right>
      <x:top style="medium">
        <x:color rgb="FFB93B32"/>
      </x:top>
      <x:bottom style="medium">
        <x:color rgb="FFB93B32"/>
      </x:bottom>
    </x:border>
    <x:border>
      <x:left style="medium">
        <x:color rgb="FF2874A6"/>
      </x:left>
      <x:top style="medium">
        <x:color rgb="FF2874A6"/>
      </x:top>
      <x:bottom style="medium">
        <x:color rgb="FF2874A6"/>
      </x:bottom>
    </x:border>
    <x:border>
      <x:top style="medium">
        <x:color rgb="FF2874A6"/>
      </x:top>
      <x:bottom style="medium">
        <x:color rgb="FF2874A6"/>
      </x:bottom>
    </x:border>
    <x:border>
      <x:right style="medium">
        <x:color rgb="FF2874A6"/>
      </x:right>
      <x:top style="medium">
        <x:color rgb="FF2874A6"/>
      </x:top>
      <x:bottom style="medium">
        <x:color rgb="FF2874A6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</x:borders>
  <x:cellStyleXfs count="1">
    <x:xf numFmtId="0" fontId="0" fillId="0" borderId="0"/>
  </x:cellStyleXfs>
  <x:cellXfs count="2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0" fontId="8" fillId="7" borderId="5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horizontal="center" wrapText="1"/>
    </x:xf>
    <x:xf numFmtId="0" fontId="5" fillId="8" borderId="10" xfId="0" applyNumberFormat="1" applyFont="1" applyFill="1" applyBorder="1" applyAlignment="1">
      <x:alignment horizontal="center" wrapText="1"/>
    </x:xf>
    <x:xf numFmtId="0" fontId="5" fillId="8" borderId="11" xfId="0" applyNumberFormat="1" applyFont="1" applyFill="1" applyBorder="1" applyAlignment="1">
      <x:alignment horizont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5" fillId="8" borderId="11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9" borderId="4" xfId="0" applyNumberFormat="1" applyFont="1" applyFill="1" applyBorder="1" applyAlignment="1">
      <x:alignment vertical="top" wrapText="1"/>
    </x:xf>
    <x:xf numFmtId="0" fontId="9" fillId="9" borderId="5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horizontal="center" vertical="top" wrapText="1"/>
    </x:xf>
    <x:xf numFmtId="0" fontId="9" fillId="0" borderId="5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2" xfId="0" applyNumberFormat="1" applyFont="1" applyFill="1" applyBorder="1"/>
    <x:xf numFmtId="0" fontId="3" fillId="13" borderId="5" xfId="0" applyNumberFormat="1" applyFont="1" applyFill="1" applyBorder="1"/>
    <x:xf numFmtId="0" fontId="3" fillId="13" borderId="13" xfId="0" applyNumberFormat="1" applyFont="1" applyFill="1" applyBorder="1"/>
    <x:xf numFmtId="0" fontId="3" fillId="13" borderId="12" xfId="0" applyNumberFormat="1" applyFont="1" applyFill="1" applyBorder="1" applyAlignment="1">
      <x:alignment horizontal="center"/>
    </x:xf>
    <x:xf numFmtId="0" fontId="3" fillId="13" borderId="5" xfId="0" applyNumberFormat="1" applyFont="1" applyFill="1" applyBorder="1" applyAlignment="1">
      <x:alignment horizontal="center"/>
    </x:xf>
    <x:xf numFmtId="0" fontId="3" fillId="13" borderId="13" xfId="0" applyNumberFormat="1" applyFont="1" applyFill="1" applyBorder="1" applyAlignment="1">
      <x:alignment horizontal="center"/>
    </x:xf>
    <x:xf numFmtId="0" fontId="3" fillId="13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14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0" fillId="11" borderId="4" xfId="0" applyNumberFormat="1" applyFont="1" applyFill="1" applyBorder="1" applyAlignment="1">
      <x:alignment vertical="top" wrapText="1"/>
    </x:xf>
    <x:xf numFmtId="0" fontId="0" fillId="11" borderId="5" xfId="0" applyNumberFormat="1" applyFont="1" applyFill="1" applyBorder="1" applyAlignment="1">
      <x:alignment vertical="top" wrapText="1"/>
    </x:xf>
    <x:xf numFmtId="0" fontId="0" fillId="11" borderId="14" xfId="0" applyNumberFormat="1" applyFont="1" applyFill="1" applyBorder="1" applyAlignment="1">
      <x:alignment vertical="top" wrapText="1"/>
    </x:xf>
    <x:xf numFmtId="0" fontId="7" fillId="11" borderId="4" xfId="0" applyNumberFormat="1" applyFont="1" applyFill="1" applyBorder="1" applyAlignment="1">
      <x:alignment vertical="top" wrapText="1"/>
    </x:xf>
    <x:xf numFmtId="0" fontId="7" fillId="11" borderId="5" xfId="0" applyNumberFormat="1" applyFont="1" applyFill="1" applyBorder="1" applyAlignment="1">
      <x:alignment vertical="top" wrapText="1"/>
    </x:xf>
    <x:xf numFmtId="0" fontId="7" fillId="11" borderId="14" xfId="0" applyNumberFormat="1" applyFont="1" applyFill="1" applyBorder="1" applyAlignment="1">
      <x:alignment vertical="top" wrapText="1"/>
    </x:xf>
    <x:xf numFmtId="0" fontId="7" fillId="11" borderId="4" xfId="0" applyNumberFormat="1" applyFont="1" applyFill="1" applyBorder="1" applyAlignment="1">
      <x:alignment horizontal="center" vertical="top" wrapText="1"/>
    </x:xf>
    <x:xf numFmtId="0" fontId="7" fillId="11" borderId="5" xfId="0" applyNumberFormat="1" applyFont="1" applyFill="1" applyBorder="1" applyAlignment="1">
      <x:alignment horizontal="center" vertical="top" wrapText="1"/>
    </x:xf>
    <x:xf numFmtId="0" fontId="7" fillId="11" borderId="14" xfId="0" applyNumberFormat="1" applyFont="1" applyFill="1" applyBorder="1" applyAlignment="1">
      <x:alignment horizontal="center" vertical="top"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left"/>
    </x:xf>
    <x:xf numFmtId="0" fontId="1" fillId="14" borderId="0" xfId="0" applyNumberFormat="1" applyFont="1" applyFill="1" applyBorder="1" applyAlignment="1">
      <x:alignment horizontal="left" vertical="center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10" fillId="3" borderId="14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4" xfId="0" applyNumberFormat="1" applyFont="1" applyFill="1" applyBorder="1"/>
    <x:xf numFmtId="0" fontId="13" fillId="16" borderId="5" xfId="0" applyNumberFormat="1" applyFont="1" applyFill="1" applyBorder="1"/>
    <x:xf numFmtId="0" fontId="13" fillId="16" borderId="14" xfId="0" applyNumberFormat="1" applyFont="1" applyFill="1" applyBorder="1"/>
    <x:xf numFmtId="0" fontId="13" fillId="16" borderId="4" xfId="0" applyNumberFormat="1" applyFont="1" applyFill="1" applyBorder="1" applyAlignment="1">
      <x:alignment wrapText="1"/>
    </x:xf>
    <x:xf numFmtId="0" fontId="13" fillId="16" borderId="5" xfId="0" applyNumberFormat="1" applyFont="1" applyFill="1" applyBorder="1" applyAlignment="1">
      <x:alignment wrapText="1"/>
    </x:xf>
    <x:xf numFmtId="0" fontId="13" fillId="16" borderId="14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14" xfId="0" applyNumberFormat="1" applyFont="1" applyFill="1" applyBorder="1" applyAlignment="1">
      <x:alignment vertical="top" wrapText="1"/>
    </x:xf>
    <x:xf numFmtId="0" fontId="14" fillId="18" borderId="4" xfId="0" applyNumberFormat="1" applyFont="1" applyFill="1" applyBorder="1" applyAlignment="1">
      <x:alignment vertical="top" wrapText="1"/>
    </x:xf>
    <x:xf numFmtId="0" fontId="14" fillId="18" borderId="5" xfId="0" applyNumberFormat="1" applyFont="1" applyFill="1" applyBorder="1" applyAlignment="1">
      <x:alignment vertical="top" wrapText="1"/>
    </x:xf>
    <x:xf numFmtId="0" fontId="14" fillId="18" borderId="1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16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16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16" fillId="19" borderId="4" xfId="0" applyNumberFormat="1" applyFont="1" applyFill="1" applyBorder="1" applyAlignment="1">
      <x:alignment vertical="top" wrapText="1"/>
    </x:xf>
    <x:xf numFmtId="0" fontId="15" fillId="19" borderId="4" xfId="0" applyNumberFormat="1" applyFont="1" applyFill="1" applyBorder="1" applyAlignment="1">
      <x:alignment vertical="top" wrapText="1"/>
    </x:xf>
    <x:xf numFmtId="0" fontId="3" fillId="20" borderId="5" xfId="0" applyNumberFormat="1" applyFont="1" applyFill="1" applyBorder="1" applyAlignment="1">
      <x:alignment vertical="top" wrapText="1"/>
    </x:xf>
    <x:xf numFmtId="0" fontId="3" fillId="20" borderId="5" xfId="0" applyNumberFormat="1" applyFont="1" applyFill="1" applyBorder="1" applyAlignment="1">
      <x:alignment horizontal="center" vertical="top" wrapText="1"/>
    </x:xf>
    <x:xf numFmtId="0" fontId="16" fillId="20" borderId="5" xfId="0" applyNumberFormat="1" applyFont="1" applyFill="1" applyBorder="1" applyAlignment="1">
      <x:alignment vertical="top" wrapText="1"/>
    </x:xf>
    <x:xf numFmtId="0" fontId="15" fillId="20" borderId="5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16" fillId="19" borderId="5" xfId="0" applyNumberFormat="1" applyFont="1" applyFill="1" applyBorder="1" applyAlignment="1">
      <x:alignment vertical="top" wrapText="1"/>
    </x:xf>
    <x:xf numFmtId="0" fontId="15" fillId="19" borderId="5" xfId="0" applyNumberFormat="1" applyFont="1" applyFill="1" applyBorder="1" applyAlignment="1">
      <x:alignment vertical="top" wrapText="1"/>
    </x:xf>
    <x:xf numFmtId="0" fontId="16" fillId="20" borderId="0" xfId="0" applyNumberFormat="1" applyFont="1" applyFill="1" applyBorder="1" applyAlignment="1">
      <x:alignment vertical="top" wrapText="1"/>
    </x:xf>
    <x:xf numFmtId="0" fontId="15" fillId="20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0" fontId="15" fillId="19" borderId="0" xfId="0" applyNumberFormat="1" applyFont="1" applyFill="1" applyBorder="1" applyAlignment="1">
      <x:alignment vertical="top" wrapText="1"/>
    </x:xf>
    <x:xf numFmtId="0" fontId="15" fillId="21" borderId="5" xfId="0" applyNumberFormat="1" applyFont="1" applyFill="1" applyBorder="1" applyAlignment="1">
      <x:alignment vertical="top" wrapText="1"/>
    </x:xf>
    <x:xf numFmtId="0" fontId="3" fillId="21" borderId="5" xfId="0" applyNumberFormat="1" applyFont="1" applyFill="1" applyBorder="1" applyAlignment="1">
      <x:alignment horizontal="center" vertical="top" wrapText="1"/>
    </x:xf>
    <x:xf numFmtId="0" fontId="16" fillId="21" borderId="5" xfId="0" applyNumberFormat="1" applyFont="1" applyFill="1" applyBorder="1" applyAlignment="1">
      <x:alignment vertical="top" wrapText="1"/>
    </x:xf>
    <x:xf numFmtId="0" fontId="15" fillId="22" borderId="0" xfId="0" applyNumberFormat="1" applyFont="1" applyFill="1" applyBorder="1" applyAlignment="1">
      <x:alignment vertical="top" wrapText="1"/>
    </x:xf>
    <x:xf numFmtId="0" fontId="16" fillId="2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6"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0F766E"/>
      </x:font>
      <x:fill>
        <x:patternFill>
          <x:bgColor rgb="FFDDF4EF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color rgb="FF244A68"/>
      </x:font>
      <x:fill>
        <x:patternFill>
          <x:bgColor rgb="FFF3F6F8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0F766E"/>
      </x:font>
      <x:fill>
        <x:patternFill>
          <x:bgColor rgb="FFDDF4EF"/>
        </x:patternFill>
      </x:fill>
    </x:dxf>
    <x:dxf>
      <x:font>
        <x:b/>
        <x:color rgb="FF217A50"/>
      </x:font>
      <x:fill>
        <x:patternFill>
          <x:bgColor rgb="FFE2F2E8"/>
        </x:patternFill>
      </x:fill>
    </x:dxf>
    <x:dxf>
      <x:font>
        <x:b/>
        <x:color rgb="FFB36B00"/>
      </x:font>
      <x:fill>
        <x:patternFill>
          <x:bgColor rgb="FFFFF1CC"/>
        </x:patternFill>
      </x:fill>
    </x:dxf>
    <x:dxf>
      <x:font>
        <x:b/>
        <x:color rgb="FFA9312C"/>
      </x:font>
      <x:fill>
        <x:patternFill>
          <x:bgColor rgb="FFFB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7695048e64478" /><Relationship Type="http://schemas.openxmlformats.org/officeDocument/2006/relationships/theme" Target="/xl/theme/theme1.xml" Id="R799312189f344745" /><Relationship Type="http://schemas.openxmlformats.org/officeDocument/2006/relationships/sharedStrings" Target="/xl/sharedStrings.xml" Id="R7b3474ea6eae437b" /><Relationship Type="http://schemas.openxmlformats.org/officeDocument/2006/relationships/worksheet" Target="/xl/worksheets/sheet1.xml" Id="Rf898f04d856f4ea4" /><Relationship Type="http://schemas.openxmlformats.org/officeDocument/2006/relationships/worksheet" Target="/xl/worksheets/sheet2.xml" Id="R92b60e992b854a9f" /><Relationship Type="http://schemas.openxmlformats.org/officeDocument/2006/relationships/worksheet" Target="/xl/worksheets/sheet3.xml" Id="R63ad3289945c4d9f" /><Relationship Type="http://schemas.openxmlformats.org/officeDocument/2006/relationships/worksheet" Target="/xl/worksheets/sheet4.xml" Id="R38e0835da7854a81" /><Relationship Type="http://schemas.openxmlformats.org/officeDocument/2006/relationships/worksheet" Target="/xl/worksheets/sheet5.xml" Id="Reeb0928b80654043" /><Relationship Type="http://schemas.openxmlformats.org/officeDocument/2006/relationships/worksheet" Target="/xl/worksheets/sheet6.xml" Id="R433bbe1f1aff4e5d" /><Relationship Type="http://schemas.openxmlformats.org/officeDocument/2006/relationships/worksheet" Target="/xl/worksheets/sheet7.xml" Id="Rb585e8757a654de4" /><Relationship Type="http://schemas.openxmlformats.org/officeDocument/2006/relationships/worksheet" Target="/xl/worksheets/sheet8.xml" Id="Reefa9f45bee346d6" /><Relationship Type="http://schemas.openxmlformats.org/officeDocument/2006/relationships/worksheet" Target="/xl/worksheets/sheet9.xml" Id="R28d6554edfcd4b0c" /><Relationship Type="http://schemas.openxmlformats.org/officeDocument/2006/relationships/worksheet" Target="/xl/worksheets/sheet10.xml" Id="R3342a234299147bc" /><Relationship Type="http://schemas.openxmlformats.org/officeDocument/2006/relationships/worksheet" Target="/xl/worksheets/sheet11.xml" Id="Rf69b6636fd2f4224" /><Relationship Type="http://schemas.openxmlformats.org/officeDocument/2006/relationships/worksheet" Target="/xl/worksheets/sheet12.xml" Id="R728aba5a772647b3" /><Relationship Type="http://schemas.openxmlformats.org/officeDocument/2006/relationships/worksheet" Target="/xl/worksheets/sheet13.xml" Id="R19af0ecd8299468a" /><Relationship Type="http://schemas.openxmlformats.org/officeDocument/2006/relationships/worksheet" Target="/xl/worksheets/sheet14.xml" Id="R0209684bb8cc4746" /></Relationships>
</file>

<file path=xl/tables/table1.xml><?xml version="1.0" encoding="utf-8"?>
<x:table xmlns:x="http://schemas.openxmlformats.org/spreadsheetml/2006/main" id="10" name="TutorialStoryboard" displayName="TutorialStoryboard" ref="A4:J12" headerRowCount="1" totalsRowCount="0" totalsRowShown="0">
  <x:tableColumns count="10">
    <x:tableColumn id="1" name="State ID"/>
    <x:tableColumn id="2" name="Tutorial beat"/>
    <x:tableColumn id="3" name="Narrative / visible cue"/>
    <x:tableColumn id="4" name="Learner objective"/>
    <x:tableColumn id="5" name="CALM behavior"/>
    <x:tableColumn id="6" name="Unity success gate"/>
    <x:tableColumn id="7" name="Never do"/>
    <x:tableColumn id="8" name="Next"/>
    <x:tableColumn id="9" name="Owner"/>
    <x:tableColumn id="10" name="Review 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EqHomeStoryboard" displayName="EqHomeStoryboard" ref="A6:K17" headerRowCount="1" totalsRowCount="0" totalsRowShown="0">
  <x:autoFilter ref="A6:K17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2" name="EqSchoolStoryboard" displayName="EqSchoolStoryboard" ref="A6:K21" headerRowCount="1" totalsRowCount="0" totalsRowShown="0">
  <x:autoFilter ref="A6:K21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3" name="EqOutdoorStoryboard" displayName="EqOutdoorStoryboard" ref="A6:K16" headerRowCount="1" totalsRowCount="0" totalsRowShown="0">
  <x:autoFilter ref="A6:K16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4" name="FireHomeStoryboard" displayName="FireHomeStoryboard" ref="A6:K16" headerRowCount="1" totalsRowCount="0" totalsRowShown="0">
  <x:autoFilter ref="A6:K16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5" name="FireSchoolStoryboard" displayName="FireSchoolStoryboard" ref="A6:K17" headerRowCount="1" totalsRowCount="0" totalsRowShown="0">
  <x:autoFilter ref="A6:K17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6" name="FireOutdoorStoryboard" displayName="FireOutdoorStoryboard" ref="A6:K14" headerRowCount="1" totalsRowCount="0" totalsRowShown="0">
  <x:autoFilter ref="A6:K14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7" name="TyphoonHomeStoryboard" displayName="TyphoonHomeStoryboard" ref="A6:K17" headerRowCount="1" totalsRowCount="0" totalsRowShown="0">
  <x:autoFilter ref="A6:K17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8" name="TyphoonSchoolStoryboard" displayName="TyphoonSchoolStoryboard" ref="A6:K17" headerRowCount="1" totalsRowCount="0" totalsRowShown="0">
  <x:autoFilter ref="A6:K17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9" name="TyphoonOutdoorStoryboard" displayName="TyphoonOutdoorStoryboard" ref="A6:K15" headerRowCount="1" totalsRowCount="0" totalsRowShown="0">
  <x:autoFilter ref="A6:K15"/>
  <x:tableColumns count="11">
    <x:tableColumn id="1" name="State ID"/>
    <x:tableColumn id="2" name="Phase"/>
    <x:tableColumn id="3" name="Action / objective"/>
    <x:tableColumn id="4" name="Narrative / context"/>
    <x:tableColumn id="5" name="Trusted VR context sent to CALM"/>
    <x:tableColumn id="6" name="Learner success gate"/>
    <x:tableColumn id="7" name="CALM intervention + Taglish line"/>
    <x:tableColumn id="8" name="Unsafe attempt / must never happen"/>
    <x:tableColumn id="9" name="Protocol ID"/>
    <x:tableColumn id="10" name="Next state"/>
    <x:tableColumn id="11" name="Review status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OpenDecisions" displayName="OpenDecisions" ref="A4:H18" headerRowCount="1" totalsRowCount="0" totalsRowShown="0">
  <x:tableColumns count="8">
    <x:tableColumn id="1" name="ID"/>
    <x:tableColumn id="2" name="Priority"/>
    <x:tableColumn id="3" name="Decision needed"/>
    <x:tableColumn id="4" name="Why it matters"/>
    <x:tableColumn id="5" name="Proposed default for prototype"/>
    <x:tableColumn id="6" name="Owner / reviewer"/>
    <x:tableColumn id="7" name="Blocks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26ca759807e40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085140c27ac43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a34f1de84fe4d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b11a671f8b744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b1ea73b68b49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d7b501315f143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6e1d10e03524e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c787a40734646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80237a94c945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f59a00b66eb46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b5c5a340ae049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42" hidden="0" customWidth="1"/>
    <x:col min="5" max="5" width="28" hidden="0" customWidth="1"/>
    <x:col min="6" max="6" width="25" hidden="0" customWidth="1"/>
    <x:col min="7" max="7" width="28" hidden="0" customWidth="1"/>
    <x:col min="8" max="8" width="45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01" t="str">
        <x:v>CALM VR SCENARIO DESIGN WORKBOOK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</x:row>
    <x:row r="2" ht="34" customHeight="1">
      <x:c r="A2" s="9" t="str">
        <x:v>Draft 1 · 31 July 2026 · Story-first bridge from the approved thesis scope to Unity and the context-aware assistant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8" customHeight="1">
      <x:c r="A4" s="104" t="str">
        <x:v>Decision: yes, finalize these narrative/state storyboards before expanding the AI. The manuscript requires nine linear location-specific missions—not just three generic hazard scenes.</x:v>
      </x:c>
      <x:c r="B4" s="104"/>
      <x:c r="C4" s="104"/>
      <x:c r="D4" s="104"/>
      <x:c r="E4" s="104"/>
      <x:c r="F4" s="104"/>
      <x:c r="G4" s="104"/>
      <x:c r="H4" s="104"/>
      <x:c r="I4" s="104"/>
      <x:c r="J4" s="104"/>
      <x:c r="K4" s="104"/>
    </x:row>
    <x:row r="6">
      <x:c r="A6" s="106" t="str">
        <x:v>SCOPE AT A GLANCE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</x:row>
    <x:row r="7">
      <x:c r="A7" s="109" t="str">
        <x:v>Hazard modules</x:v>
      </x:c>
      <x:c r="B7" s="109" t="str">
        <x:v>Mission variants</x:v>
      </x:c>
      <x:c r="C7" s="109" t="str">
        <x:v>Phase segments</x:v>
      </x:c>
      <x:c r="D7" s="109" t="str">
        <x:v>Storyboard beats</x:v>
      </x:c>
      <x:c r="E7" s="109" t="str">
        <x:v>Executable variants now</x:v>
      </x:c>
      <x:c r="F7" s="109" t="str">
        <x:v>Protocol cards</x:v>
      </x:c>
      <x:c r="G7" s="109" t="str">
        <x:v>Production-approved cards</x:v>
      </x:c>
      <x:c r="H7" s="109" t="str">
        <x:v>Narrative model</x:v>
      </x:c>
    </x:row>
    <x:row r="8" ht="44" customHeight="1">
      <x:c r="A8" s="115" t="n">
        <x:v>3</x:v>
      </x:c>
      <x:c r="B8" s="116" t="n">
        <x:v>9</x:v>
      </x:c>
      <x:c r="C8" s="116" t="n">
        <x:v>27</x:v>
      </x:c>
      <x:c r="D8" s="116" t="n">
        <x:f>COUNTA('EQ Home'!$A$7:$A$80)+COUNTA('EQ School'!$A$7:$A$80)+COUNTA('EQ Outdoor'!$A$7:$A$80)+COUNTA('Fire Home'!$A$7:$A$80)+COUNTA('Fire School'!$A$7:$A$80)+COUNTA('Fire Outdoor'!$A$7:$A$80)+COUNTA('Typhoon Home'!$A$7:$A$80)+COUNTA('Typhoon School'!$A$7:$A$80)+COUNTA('Typhoon Outdoor'!$A$7:$A$80)</x:f>
        <x:v>98</x:v>
      </x:c>
      <x:c r="E8" s="116" t="n">
        <x:f>1</x:f>
        <x:v>1</x:v>
      </x:c>
      <x:c r="F8" s="116" t="n">
        <x:f>47</x:f>
        <x:v>47</x:v>
      </x:c>
      <x:c r="G8" s="116" t="n">
        <x:f>0</x:f>
        <x:v>0</x:v>
      </x:c>
      <x:c r="H8" s="118" t="str">
        <x:v>Linear missions; deterministic correction loops only</x:v>
      </x:c>
    </x:row>
    <x:row r="10">
      <x:c r="A10" s="106" t="str">
        <x:v>WHAT HAS ALREADY BEEN BUILT — AND WHAT IS STILL MISSING</x:v>
      </x:c>
      <x:c r="B10" s="106"/>
      <x:c r="C10" s="106"/>
      <x:c r="D10" s="106"/>
      <x:c r="E10" s="106"/>
      <x:c r="F10" s="106"/>
      <x:c r="G10" s="106"/>
      <x:c r="H10" s="106"/>
      <x:c r="I10" s="106"/>
      <x:c r="J10" s="106"/>
      <x:c r="K10" s="106"/>
    </x:row>
    <x:row r="11" ht="58" customHeight="1">
      <x:c r="A11" s="122" t="str">
        <x:v>DONE</x:v>
      </x:c>
      <x:c r="B11" s="34" t="str">
        <x:v>Knowledge-base preprocessing</x:v>
      </x:c>
      <x:c r="C11" s="34" t="str">
        <x:v>20-PDF corpus audited; 47 protocol cards; 141 EN/FIL/Taglish review-candidate retrieval units.</x:v>
      </x:c>
      <x:c r="D11" s="34" t="str">
        <x:v>Useful for grounded protocol explanations.</x:v>
      </x:c>
    </x:row>
    <x:row r="12" ht="58" customHeight="1">
      <x:c r="A12" s="123" t="str">
        <x:v>DONE</x:v>
      </x:c>
      <x:c r="B12" s="35" t="str">
        <x:v>Safety architecture</x:v>
      </x:c>
      <x:c r="C12" s="35" t="str">
        <x:v>Trusted VR context contract, deterministic P0/P1 rules, privacy boundary, school-local configuration rules.</x:v>
      </x:c>
      <x:c r="D12" s="35" t="str">
        <x:v>Defines what CALM may know and decide.</x:v>
      </x:c>
    </x:row>
    <x:row r="13" ht="58" customHeight="1">
      <x:c r="A13" s="123" t="str">
        <x:v>WORKING SLICE</x:v>
      </x:c>
      <x:c r="B13" s="35" t="str">
        <x:v>School-earthquake API</x:v>
      </x:c>
      <x:c r="C13" s="35" t="str">
        <x:v>Browser/API demonstration changes the answer when phase, action, route, assembly, or aftershock state changes.</x:v>
      </x:c>
      <x:c r="D13" s="35" t="str">
        <x:v>This is the smallest proof that CALM can be context-aware.</x:v>
      </x:c>
    </x:row>
    <x:row r="14" ht="58" customHeight="1">
      <x:c r="A14" s="123" t="str">
        <x:v>MISSING</x:v>
      </x:c>
      <x:c r="B14" s="35" t="str">
        <x:v>Final narrative/state design</x:v>
      </x:c>
      <x:c r="C14" s="35" t="str">
        <x:v>No approved complete state graph exists for all nine mission variants.</x:v>
      </x:c>
      <x:c r="D14" s="35" t="str">
        <x:v>This workbook is the first draft of that bridge.</x:v>
      </x:c>
    </x:row>
    <x:row r="15" ht="58" customHeight="1">
      <x:c r="A15" s="123" t="str">
        <x:v>MISSING</x:v>
      </x:c>
      <x:c r="B15" s="35" t="str">
        <x:v>Unity scenes and event wiring</x:v>
      </x:c>
      <x:c r="C15" s="35" t="str">
        <x:v>Unity must create objects, cues, NPC authority, routes, boundaries, triggers, and state transitions.</x:v>
      </x:c>
      <x:c r="D15" s="35" t="str">
        <x:v>CALM cannot infer these safely from speech.</x:v>
      </x:c>
    </x:row>
    <x:row r="16" ht="58" customHeight="1">
      <x:c r="A16" s="124" t="str">
        <x:v>MISSING</x:v>
      </x:c>
      <x:c r="B16" s="121" t="str">
        <x:v>Local/external approvals</x:v>
      </x:c>
      <x:c r="C16" s="121" t="str">
        <x:v>School alarms/routes/safe rooms/assembly/reunification and outdoor-fire details are not deployment-approved.</x:v>
      </x:c>
      <x:c r="D16" s="121" t="str">
        <x:v>Synthetic SIM_* values remain development-only.</x:v>
      </x:c>
    </x:row>
    <x:row r="18">
      <x:c r="A18" s="106" t="str">
        <x:v>MISSION MATRIX — STORY DRAFTS IN THIS WORKBOOK</x:v>
      </x:c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</x:row>
    <x:row r="19">
      <x:c r="A19" s="126" t="str">
        <x:v>Module</x:v>
      </x:c>
      <x:c r="B19" s="126" t="str">
        <x:v>Location</x:v>
      </x:c>
      <x:c r="C19" s="126" t="str">
        <x:v>Before focus</x:v>
      </x:c>
      <x:c r="D19" s="126" t="str">
        <x:v>During focus</x:v>
      </x:c>
      <x:c r="E19" s="126" t="str">
        <x:v>After focus</x:v>
      </x:c>
      <x:c r="F19" s="126" t="str">
        <x:v>Current implementation</x:v>
      </x:c>
      <x:c r="G19" s="126" t="str">
        <x:v>Review gate</x:v>
      </x:c>
    </x:row>
    <x:row r="20" ht="42" customHeight="1">
      <x:c r="A20" s="127" t="str">
        <x:v>Earthquake</x:v>
      </x:c>
      <x:c r="B20" s="34" t="str">
        <x:v>Home</x:v>
      </x:c>
      <x:c r="C20" s="34" t="str">
        <x:v>Safe cover + unsafe objects</x:v>
      </x:c>
      <x:c r="D20" s="34" t="str">
        <x:v>Drop, Cover, Hold</x:v>
      </x:c>
      <x:c r="E20" s="34" t="str">
        <x:v>Guardian-led cleared route</x:v>
      </x:c>
      <x:c r="F20" s="34" t="str">
        <x:v>Not built</x:v>
      </x:c>
      <x:c r="G20" s="34" t="str">
        <x:v>Team review</x:v>
      </x:c>
    </x:row>
    <x:row r="21" ht="42" customHeight="1">
      <x:c r="A21" s="128" t="str">
        <x:v>Earthquake</x:v>
      </x:c>
      <x:c r="B21" s="35" t="str">
        <x:v>School</x:v>
      </x:c>
      <x:c r="C21" s="35" t="str">
        <x:v>Cover + route + hazards</x:v>
      </x:c>
      <x:c r="D21" s="35" t="str">
        <x:v>Drop, Cover, Hold</x:v>
      </x:c>
      <x:c r="E21" s="35" t="str">
        <x:v>Teacher route + assembly</x:v>
      </x:c>
      <x:c r="F21" s="35" t="str">
        <x:v>Working API slice</x:v>
      </x:c>
      <x:c r="G21" s="35" t="str">
        <x:v>School config + story review</x:v>
      </x:c>
    </x:row>
    <x:row r="22" ht="42" customHeight="1">
      <x:c r="A22" s="128" t="str">
        <x:v>Earthquake</x:v>
      </x:c>
      <x:c r="B22" s="35" t="str">
        <x:v>Outdoor</x:v>
      </x:c>
      <x:c r="C22" s="35" t="str">
        <x:v>Open-area recognition</x:v>
      </x:c>
      <x:c r="D22" s="35" t="str">
        <x:v>Protect away from hazards</x:v>
      </x:c>
      <x:c r="E22" s="35" t="str">
        <x:v>Remain in open safe zone</x:v>
      </x:c>
      <x:c r="F22" s="35" t="str">
        <x:v>Not built</x:v>
      </x:c>
      <x:c r="G22" s="35" t="str">
        <x:v>Team review</x:v>
      </x:c>
    </x:row>
    <x:row r="23" ht="42" customHeight="1">
      <x:c r="A23" s="128" t="str">
        <x:v>Fire</x:v>
      </x:c>
      <x:c r="B23" s="35" t="str">
        <x:v>Home</x:v>
      </x:c>
      <x:c r="C23" s="35" t="str">
        <x:v>Adult-only ignition hazards + exits</x:v>
      </x:c>
      <x:c r="D23" s="35" t="str">
        <x:v>Evacuate low via safe exit</x:v>
      </x:c>
      <x:c r="E23" s="35" t="str">
        <x:v>Meeting point + headcount</x:v>
      </x:c>
      <x:c r="F23" s="35" t="str">
        <x:v>Not built</x:v>
      </x:c>
      <x:c r="G23" s="35" t="str">
        <x:v>Team review</x:v>
      </x:c>
    </x:row>
    <x:row r="24" ht="42" customHeight="1">
      <x:c r="A24" s="128" t="str">
        <x:v>Fire</x:v>
      </x:c>
      <x:c r="B24" s="35" t="str">
        <x:v>School</x:v>
      </x:c>
      <x:c r="C24" s="35" t="str">
        <x:v>Blocked exit/heat hazard + route</x:v>
      </x:c>
      <x:c r="D24" s="35" t="str">
        <x:v>Teacher-led evacuation</x:v>
      </x:c>
      <x:c r="E24" s="35" t="str">
        <x:v>Assembly + headcount</x:v>
      </x:c>
      <x:c r="F24" s="35" t="str">
        <x:v>Not built</x:v>
      </x:c>
      <x:c r="G24" s="35" t="str">
        <x:v>School config</x:v>
      </x:c>
    </x:row>
    <x:row r="25" ht="42" customHeight="1">
      <x:c r="A25" s="128" t="str">
        <x:v>Fire</x:v>
      </x:c>
      <x:c r="B25" s="35" t="str">
        <x:v>Outdoor</x:v>
      </x:c>
      <x:c r="C25" s="35" t="str">
        <x:v>Distance boundary + adult</x:v>
      </x:c>
      <x:c r="D25" s="35" t="str">
        <x:v>Move away by trusted route</x:v>
      </x:c>
      <x:c r="E25" s="35" t="str">
        <x:v>Report + remain in safe zone</x:v>
      </x:c>
      <x:c r="F25" s="35" t="str">
        <x:v>Not built</x:v>
      </x:c>
      <x:c r="G25" s="35" t="str">
        <x:v>BFP/LDRRMO review</x:v>
      </x:c>
    </x:row>
    <x:row r="26" ht="42" customHeight="1">
      <x:c r="A26" s="128" t="str">
        <x:v>Typhoon</x:v>
      </x:c>
      <x:c r="B26" s="35" t="str">
        <x:v>Home</x:v>
      </x:c>
      <x:c r="C26" s="35" t="str">
        <x:v>Verified update + go-bag</x:v>
      </x:c>
      <x:c r="D26" s="35" t="str">
        <x:v>Safe room / higher dry area</x:v>
      </x:c>
      <x:c r="E26" s="35" t="str">
        <x:v>Wait for clearance</x:v>
      </x:c>
      <x:c r="F26" s="35" t="str">
        <x:v>Not built</x:v>
      </x:c>
      <x:c r="G26" s="35" t="str">
        <x:v>Team review</x:v>
      </x:c>
    </x:row>
    <x:row r="27" ht="42" customHeight="1">
      <x:c r="A27" s="128" t="str">
        <x:v>Typhoon</x:v>
      </x:c>
      <x:c r="B27" s="35" t="str">
        <x:v>School</x:v>
      </x:c>
      <x:c r="C27" s="35" t="str">
        <x:v>Warning + safe room + release plan</x:v>
      </x:c>
      <x:c r="D27" s="35" t="str">
        <x:v>Teacher + flooded-route stop</x:v>
      </x:c>
      <x:c r="E27" s="35" t="str">
        <x:v>Headcount + reunification</x:v>
      </x:c>
      <x:c r="F27" s="35" t="str">
        <x:v>Not built</x:v>
      </x:c>
      <x:c r="G27" s="35" t="str">
        <x:v>School config</x:v>
      </x:c>
    </x:row>
    <x:row r="28" ht="42" customHeight="1">
      <x:c r="A28" s="129" t="str">
        <x:v>Typhoon</x:v>
      </x:c>
      <x:c r="B28" s="121" t="str">
        <x:v>Outdoor</x:v>
      </x:c>
      <x:c r="C28" s="121" t="str">
        <x:v>Warning + early shelter</x:v>
      </x:c>
      <x:c r="D28" s="121" t="str">
        <x:v>Trusted route; avoid water/wires</x:v>
      </x:c>
      <x:c r="E28" s="121" t="str">
        <x:v>Remain sheltered until cleared</x:v>
      </x:c>
      <x:c r="F28" s="121" t="str">
        <x:v>Not built</x:v>
      </x:c>
      <x:c r="G28" s="121" t="str">
        <x:v>Team review</x:v>
      </x:c>
    </x:row>
    <x:row r="30">
      <x:c r="A30" s="131" t="str">
        <x:v>RECOMMENDED BUILD ORDER</x:v>
      </x:c>
      <x:c r="B30" s="131"/>
      <x:c r="C30" s="131"/>
      <x:c r="D30" s="131"/>
      <x:c r="E30" s="131"/>
      <x:c r="F30" s="131"/>
      <x:c r="G30" s="131"/>
      <x:c r="H30" s="131"/>
      <x:c r="I30" s="131"/>
      <x:c r="J30" s="131"/>
      <x:c r="K30" s="131"/>
    </x:row>
    <x:row r="31" ht="58" customHeight="1">
      <x:c r="A31" s="138" t="n">
        <x:v>1</x:v>
      </x:c>
      <x:c r="B31" s="34" t="str">
        <x:v>Review and freeze EQ School</x:v>
      </x:c>
      <x:c r="C31" s="34" t="str">
        <x:v>Agree on the exact story, objects, correction loops, state IDs, and local placeholders.</x:v>
      </x:c>
    </x:row>
    <x:row r="32" ht="58" customHeight="1">
      <x:c r="A32" s="139" t="n">
        <x:v>2</x:v>
      </x:c>
      <x:c r="B32" s="35" t="str">
        <x:v>Build one Unity classroom vertical slice</x:v>
      </x:c>
      <x:c r="C32" s="35" t="str">
        <x:v>Unity emits the trusted state; CALM never guesses it.</x:v>
      </x:c>
    </x:row>
    <x:row r="33" ht="58" customHeight="1">
      <x:c r="A33" s="139" t="n">
        <x:v>3</x:v>
      </x:c>
      <x:c r="B33" s="35" t="str">
        <x:v>Run state-change evidence tests</x:v>
      </x:c>
      <x:c r="C33" s="35" t="str">
        <x:v>Ask the same question in shaking, waiting, evacuation, route-blocked, assembly, and aftershock states.</x:v>
      </x:c>
    </x:row>
    <x:row r="34" ht="58" customHeight="1">
      <x:c r="A34" s="139" t="n">
        <x:v>4</x:v>
      </x:c>
      <x:c r="B34" s="35" t="str">
        <x:v>Add voice, TTS, and minimal dashboard logging</x:v>
      </x:c>
      <x:c r="C34" s="35" t="str">
        <x:v>Keep safety selection deterministic and exclude raw voice/free-form history from logs.</x:v>
      </x:c>
    </x:row>
    <x:row r="35" ht="58" customHeight="1">
      <x:c r="A35" s="140" t="n">
        <x:v>5</x:v>
      </x:c>
      <x:c r="B35" s="121" t="str">
        <x:v>Replicate the template</x:v>
      </x:c>
      <x:c r="C35" s="121" t="str">
        <x:v>Implement the remaining eight missions only after the first slice is stable.</x:v>
      </x:c>
    </x:row>
    <x:row r="37">
      <x:c r="A37" s="142" t="str">
        <x:v>Scope sources: approved manuscript PDF pp. 16–18 and 20 (PDF pages); protocol IDs trace to corpus/card_specs/*.json. The stories are design drafts, not yet domain- or deployment-approved instructions.</x:v>
      </x:c>
      <x:c r="B37" s="142"/>
      <x:c r="C37" s="142"/>
      <x:c r="D37" s="142"/>
      <x:c r="E37" s="142"/>
      <x:c r="F37" s="142"/>
      <x:c r="G37" s="142"/>
      <x:c r="H37" s="142"/>
      <x:c r="I37" s="142"/>
      <x:c r="J37" s="142"/>
      <x:c r="K37" s="142"/>
    </x:row>
    <x:row r="38">
      <x:c r="A38" s="142"/>
      <x:c r="B38" s="142"/>
      <x:c r="C38" s="142"/>
      <x:c r="D38" s="142"/>
      <x:c r="E38" s="142"/>
      <x:c r="F38" s="142"/>
      <x:c r="G38" s="142"/>
      <x:c r="H38" s="142"/>
      <x:c r="I38" s="142"/>
      <x:c r="J38" s="142"/>
      <x:c r="K38" s="142"/>
    </x:row>
  </x:sheetData>
  <x:mergeCells>
    <x:mergeCell ref="A1:K1"/>
    <x:mergeCell ref="A2:K2"/>
    <x:mergeCell ref="A4:K4"/>
    <x:mergeCell ref="A6:K6"/>
    <x:mergeCell ref="A10:K10"/>
    <x:mergeCell ref="A18:K18"/>
    <x:mergeCell ref="A30:K30"/>
    <x:mergeCell ref="A37:K38"/>
  </x:mergeCells>
  <x:conditionalFormatting sqref="A11:A16">
    <x:cfRule type="containsText" dxfId="54" priority="1" operator="containsText" text="DONE"/>
    <x:cfRule type="containsText" dxfId="55" priority="2" operator="containsText" text="WORKING"/>
    <x:cfRule type="containsText" dxfId="56" priority="3" operator="containsText" text="MISSING"/>
  </x:conditionalFormatting>
  <x:conditionalFormatting sqref="F20:F28">
    <x:cfRule type="containsText" dxfId="57" priority="4" operator="containsText" text="Working"/>
  </x:conditionalFormatting>
  <x:conditionalFormatting sqref="G20:G28">
    <x:cfRule type="containsText" dxfId="58" priority="5" operator="containsText" text="BFP"/>
    <x:cfRule type="containsText" dxfId="59" priority="6" operator="containsText" text="Schoo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58" hidden="0" customWidth="1"/>
    <x:col min="4" max="4" width="46" hidden="0" customWidth="1"/>
    <x:col min="5" max="5" width="4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45" t="str">
        <x:v>HOW THE AI ASSISTANT HELPS INSIDE VR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</x:row>
    <x:row r="2" ht="34" customHeight="1">
      <x:c r="A2" s="9" t="str">
        <x:v>The story is deterministic and owned by Unity; CALM is the context-sensitive safety/explanation layer.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8" customHeight="1">
      <x:c r="A4" s="104" t="str">
        <x:v>Core rule: CALM is not the narrator, game master, route planner, alarm authority, or physics controller. It receives trusted state and selects only an applicable reviewed instruction or grounded explanation.</x:v>
      </x:c>
      <x:c r="B4" s="104"/>
      <x:c r="C4" s="104"/>
      <x:c r="D4" s="104"/>
      <x:c r="E4" s="104"/>
      <x:c r="F4" s="104"/>
      <x:c r="G4" s="104"/>
      <x:c r="H4" s="104"/>
      <x:c r="I4" s="104"/>
      <x:c r="J4" s="104"/>
      <x:c r="K4" s="104"/>
    </x:row>
    <x:row r="6">
      <x:c r="A6" s="106" t="str">
        <x:v>END-TO-END FLOW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</x:row>
    <x:row r="7" ht="48" customHeight="1">
      <x:c r="A7" s="135" t="str">
        <x:v>1 · UNITY</x:v>
      </x:c>
      <x:c r="B7" s="122" t="str">
        <x:v>Sets state</x:v>
      </x:c>
      <x:c r="C7" s="34" t="str">
        <x:v>state_id, hazard, phase, setting, zone, learner_action, active condition, approved route/zone, teacher/guardian authority</x:v>
      </x:c>
    </x:row>
    <x:row r="8" ht="48" customHeight="1">
      <x:c r="A8" s="136" t="str">
        <x:v>2 · CONTEXT VALIDATOR</x:v>
      </x:c>
      <x:c r="B8" s="123" t="str">
        <x:v>Checks trust and consistency</x:v>
      </x:c>
      <x:c r="C8" s="35" t="str">
        <x:v>Rejects missing/conflicting state; speech cannot overwrite the scenario controller.</x:v>
      </x:c>
    </x:row>
    <x:row r="9" ht="48" customHeight="1">
      <x:c r="A9" s="136" t="str">
        <x:v>3 · DETERMINISTIC ROUTER</x:v>
      </x:c>
      <x:c r="B9" s="123" t="str">
        <x:v>Selects P0/P1 protocol</x:v>
      </x:c>
      <x:c r="C9" s="35" t="str">
        <x:v>Critical actions use exact reviewed EN/FIL/Taglish packs; no LLM paraphrase.</x:v>
      </x:c>
    </x:row>
    <x:row r="10" ht="48" customHeight="1">
      <x:c r="A10" s="136" t="str">
        <x:v>4 · CURATED RAG</x:v>
      </x:c>
      <x:c r="B10" s="123" t="str">
        <x:v>Answers safe P2 questions</x:v>
      </x:c>
      <x:c r="C10" s="35" t="str">
        <x:v>Searches protocol cards filtered by hazard/phase/setting; cannot change the trusted state.</x:v>
      </x:c>
    </x:row>
    <x:row r="11" ht="48" customHeight="1">
      <x:c r="A11" s="136" t="str">
        <x:v>5 · UNITY + TTS</x:v>
      </x:c>
      <x:c r="B11" s="123" t="str">
        <x:v>Presents and enforces</x:v>
      </x:c>
      <x:c r="C11" s="35" t="str">
        <x:v>Speaks the line, highlights the approved object/zone, blocks unsafe locomotion, and advances only on the success gate.</x:v>
      </x:c>
    </x:row>
    <x:row r="12" ht="48" customHeight="1">
      <x:c r="A12" s="137" t="str">
        <x:v>6 · DASHBOARD</x:v>
      </x:c>
      <x:c r="B12" s="124" t="str">
        <x:v>Logs minimum evidence</x:v>
      </x:c>
      <x:c r="C12" s="121" t="str">
        <x:v>Random session ID, state ID, protocol ID, timestamp, latency, completion/error code—no raw voice or child identity.</x:v>
      </x:c>
    </x:row>
    <x:row r="14">
      <x:c r="A14" s="106" t="str">
        <x:v>WHO OWNS EACH DECISION</x:v>
      </x:c>
      <x:c r="B14" s="106"/>
      <x:c r="C14" s="106"/>
      <x:c r="D14" s="106"/>
      <x:c r="E14" s="106"/>
      <x:c r="F14" s="106"/>
      <x:c r="G14" s="106"/>
      <x:c r="H14" s="106"/>
      <x:c r="I14" s="106"/>
      <x:c r="J14" s="106"/>
      <x:c r="K14" s="106"/>
    </x:row>
    <x:row r="15">
      <x:c r="A15" s="125" t="str">
        <x:v>Decision</x:v>
      </x:c>
      <x:c r="B15" s="125" t="str">
        <x:v>Owner</x:v>
      </x:c>
      <x:c r="C15" s="125" t="str">
        <x:v>CALM role</x:v>
      </x:c>
      <x:c r="D15" s="125" t="str">
        <x:v>Reason</x:v>
      </x:c>
    </x:row>
    <x:row r="16" ht="48" customHeight="1">
      <x:c r="A16" s="34" t="str">
        <x:v>What event is happening and where</x:v>
      </x:c>
      <x:c r="B16" s="34" t="str">
        <x:v>Unity scenario controller</x:v>
      </x:c>
      <x:c r="C16" s="34" t="str">
        <x:v>Read only</x:v>
      </x:c>
      <x:c r="D16" s="34" t="str">
        <x:v>Speech and RAG are not trusted sensors.</x:v>
      </x:c>
    </x:row>
    <x:row r="17" ht="48" customHeight="1">
      <x:c r="A17" s="35" t="str">
        <x:v>Which route/room/assembly point is approved</x:v>
      </x:c>
      <x:c r="B17" s="35" t="str">
        <x:v>Versioned school/home/outdoor profile</x:v>
      </x:c>
      <x:c r="C17" s="35" t="str">
        <x:v>Repeat only configured IDs</x:v>
      </x:c>
      <x:c r="D17" s="35" t="str">
        <x:v>A generic manual cannot define local geometry.</x:v>
      </x:c>
    </x:row>
    <x:row r="18" ht="48" customHeight="1">
      <x:c r="A18" s="35" t="str">
        <x:v>Whether to evacuate or release a child</x:v>
      </x:c>
      <x:c r="B18" s="35" t="str">
        <x:v>Authenticated teacher/guardian/authority process</x:v>
      </x:c>
      <x:c r="C18" s="35" t="str">
        <x:v>Explain and reinforce</x:v>
      </x:c>
      <x:c r="D18" s="35" t="str">
        <x:v>The assistant cannot grant authority.</x:v>
      </x:c>
    </x:row>
    <x:row r="19" ht="48" customHeight="1">
      <x:c r="A19" s="35" t="str">
        <x:v>Immediate P0/P1 instruction</x:v>
      </x:c>
      <x:c r="B19" s="35" t="str">
        <x:v>Deterministic CALM router</x:v>
      </x:c>
      <x:c r="C19" s="35" t="str">
        <x:v>Select exact reviewed line</x:v>
      </x:c>
      <x:c r="D19" s="35" t="str">
        <x:v>Safety-critical wording must be predictable and testable.</x:v>
      </x:c>
    </x:row>
    <x:row r="20" ht="48" customHeight="1">
      <x:c r="A20" s="35" t="str">
        <x:v>Why an action matters / related disaster question</x:v>
      </x:c>
      <x:c r="B20" s="35" t="str">
        <x:v>Curated RAG, only when no critical event overrides</x:v>
      </x:c>
      <x:c r="C20" s="35" t="str">
        <x:v>Grounded explanation</x:v>
      </x:c>
      <x:c r="D20" s="35" t="str">
        <x:v>This is where flexible language is useful.</x:v>
      </x:c>
    </x:row>
    <x:row r="21" ht="48" customHeight="1">
      <x:c r="A21" s="35" t="str">
        <x:v>Movement, object access, correction loop, scoring</x:v>
      </x:c>
      <x:c r="B21" s="35" t="str">
        <x:v>Unity</x:v>
      </x:c>
      <x:c r="C21" s="35" t="str">
        <x:v>Speak/confirm; never enforce physics</x:v>
      </x:c>
      <x:c r="D21" s="35" t="str">
        <x:v>Unsafe actions must be blocked even if voice fails.</x:v>
      </x:c>
    </x:row>
    <x:row r="22" ht="48" customHeight="1">
      <x:c r="A22" s="121" t="str">
        <x:v>Minimal analytics</x:v>
      </x:c>
      <x:c r="B22" s="121" t="str">
        <x:v>Dashboard/event service</x:v>
      </x:c>
      <x:c r="C22" s="121" t="str">
        <x:v>Emit structured event</x:v>
      </x:c>
      <x:c r="D22" s="121" t="str">
        <x:v>Protect learner privacy and make UAT evidence auditable.</x:v>
      </x:c>
    </x:row>
    <x:row r="24">
      <x:c r="A24" s="106" t="str">
        <x:v>FOUR CALM INTERVENTION MODES</x:v>
      </x:c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</x:row>
    <x:row r="25" ht="46" customHeight="1">
      <x:c r="A25" s="149" t="str">
        <x:v>AUTOMATIC CRITICAL INTERRUPTION</x:v>
      </x:c>
      <x:c r="B25" s="34" t="str">
        <x:v>P0/P1 state or unsafe attempt</x:v>
      </x:c>
      <x:c r="C25" s="34" t="str">
        <x:v>Give the active safety command immediately; defer other questions.</x:v>
      </x:c>
    </x:row>
    <x:row r="26" ht="46" customHeight="1">
      <x:c r="A26" s="150" t="str">
        <x:v>LEARNER-REQUESTED ANSWER</x:v>
      </x:c>
      <x:c r="B26" s="35" t="str">
        <x:v>Learner asks a disaster-related question while safe</x:v>
      </x:c>
      <x:c r="C26" s="35" t="str">
        <x:v>Answer from filtered protocol cards; keep the current VR state unchanged.</x:v>
      </x:c>
    </x:row>
    <x:row r="27" ht="46" customHeight="1">
      <x:c r="A27" s="150" t="str">
        <x:v>DELAYED STUCK-LEARNER HINT</x:v>
      </x:c>
      <x:c r="B27" s="35" t="str">
        <x:v>No progress for a scripted time</x:v>
      </x:c>
      <x:c r="C27" s="35" t="str">
        <x:v>Give the smallest hint needed; do not solve every task immediately.</x:v>
      </x:c>
    </x:row>
    <x:row r="28" ht="46" customHeight="1">
      <x:c r="A28" s="151" t="str">
        <x:v>NO INTERVENTION</x:v>
      </x:c>
      <x:c r="B28" s="121" t="str">
        <x:v>Learner is progressing safely</x:v>
      </x:c>
      <x:c r="C28" s="121" t="str">
        <x:v>Stay quiet so the child makes the decision and experiences agency.</x:v>
      </x:c>
    </x:row>
    <x:row r="30">
      <x:c r="A30" s="131" t="str">
        <x:v>THE CONTEXT-AWARENESS PROOF: SAME QUESTION, SAME HAZARD, DIFFERENT TRUSTED STATE</x:v>
      </x:c>
      <x:c r="B30" s="131"/>
      <x:c r="C30" s="131"/>
      <x:c r="D30" s="131"/>
      <x:c r="E30" s="131"/>
      <x:c r="F30" s="131"/>
      <x:c r="G30" s="131"/>
      <x:c r="H30" s="131"/>
      <x:c r="I30" s="131"/>
      <x:c r="J30" s="131"/>
      <x:c r="K30" s="131"/>
    </x:row>
    <x:row r="31">
      <x:c r="A31" s="126" t="str">
        <x:v>Learner question</x:v>
      </x:c>
      <x:c r="B31" s="126" t="str">
        <x:v>Trusted state</x:v>
      </x:c>
      <x:c r="C31" s="126" t="str">
        <x:v>Selected protocol</x:v>
      </x:c>
      <x:c r="D31" s="126" t="str">
        <x:v>Correct answer intent</x:v>
      </x:c>
      <x:c r="E31" s="126" t="str">
        <x:v>Why this proves context-awareness</x:v>
      </x:c>
    </x:row>
    <x:row r="32" ht="54" customHeight="1">
      <x:c r="A32" s="34" t="str">
        <x:v>Should I go outside now?</x:v>
      </x:c>
      <x:c r="B32" s="34" t="str">
        <x:v>Earthquake · school · DURING · shaking=true</x:v>
      </x:c>
      <x:c r="C32" s="42" t="str">
        <x:v>EQ-DUR-003</x:v>
      </x:c>
      <x:c r="D32" s="34" t="str">
        <x:v>No. Stop, use the nearest approved cover, and wait for shaking to stop.</x:v>
      </x:c>
      <x:c r="E32" s="34" t="str">
        <x:v>The active physical condition overrides the request.</x:v>
      </x:c>
    </x:row>
    <x:row r="33" ht="54" customHeight="1">
      <x:c r="A33" s="35" t="str">
        <x:v>Should I go outside now?</x:v>
      </x:c>
      <x:c r="B33" s="35" t="str">
        <x:v>Earthquake · school · AFTER · shaking=false · teacher_order=false</x:v>
      </x:c>
      <x:c r="C33" s="43" t="str">
        <x:v>EQ-AFT-007</x:v>
      </x:c>
      <x:c r="D33" s="35" t="str">
        <x:v>Stay with the teacher and wait; do not choose an exit.</x:v>
      </x:c>
      <x:c r="E33" s="35" t="str">
        <x:v>Authority state changes the answer.</x:v>
      </x:c>
    </x:row>
    <x:row r="34" ht="54" customHeight="1">
      <x:c r="A34" s="35" t="str">
        <x:v>Should I go outside now?</x:v>
      </x:c>
      <x:c r="B34" s="35" t="str">
        <x:v>Earthquake · school · AFTER · teacher_order=true · Route B open</x:v>
      </x:c>
      <x:c r="C34" s="43" t="str">
        <x:v>EQ-AFT-001</x:v>
      </x:c>
      <x:c r="D34" s="35" t="str">
        <x:v>Walk with the teacher using the configured open route to assembly.</x:v>
      </x:c>
      <x:c r="E34" s="35" t="str">
        <x:v>Route and teacher state change the answer.</x:v>
      </x:c>
    </x:row>
    <x:row r="35" ht="54" customHeight="1">
      <x:c r="A35" s="121" t="str">
        <x:v>Should I go outside now?</x:v>
      </x:c>
      <x:c r="B35" s="121" t="str">
        <x:v>Earthquake · school · AFTER · at_assembly=true</x:v>
      </x:c>
      <x:c r="C35" s="152" t="str">
        <x:v>EQ-AFT-008</x:v>
      </x:c>
      <x:c r="D35" s="121" t="str">
        <x:v>Stay with the class for headcount.</x:v>
      </x:c>
      <x:c r="E35" s="121" t="str">
        <x:v>Location/mission progress changes the answer again.</x:v>
      </x:c>
    </x:row>
    <x:row r="37">
      <x:c r="A37" s="154" t="str">
        <x:v>CALM MUST NEVER</x:v>
      </x:c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</x:row>
    <x:row r="38" ht="36" customHeight="1">
      <x:c r="A38" s="160" t="str">
        <x:v>Infer location, route, alarm meaning, clearance, or learner action from speech.</x:v>
      </x:c>
      <x:c r="B38" s="160"/>
      <x:c r="C38" s="160"/>
      <x:c r="D38" s="160"/>
      <x:c r="E38" s="160"/>
    </x:row>
    <x:row r="39" ht="36" customHeight="1">
      <x:c r="A39" s="161" t="str">
        <x:v>Invent a school route, safe room, assembly point, reunification decision, or live alert.</x:v>
      </x:c>
      <x:c r="B39" s="161"/>
      <x:c r="C39" s="161"/>
      <x:c r="D39" s="161"/>
      <x:c r="E39" s="161"/>
    </x:row>
    <x:row r="40" ht="36" customHeight="1">
      <x:c r="A40" s="161" t="str">
        <x:v>Tell a Grade 4 learner to fight fire, cross floodwater, operate utilities, rescue, re-enter, or retrieve belongings during danger.</x:v>
      </x:c>
      <x:c r="B40" s="161"/>
      <x:c r="C40" s="161"/>
      <x:c r="D40" s="161"/>
      <x:c r="E40" s="161"/>
    </x:row>
    <x:row r="41" ht="36" customHeight="1">
      <x:c r="A41" s="161" t="str">
        <x:v>Use graphic injury, trapping, fear, or punishment as feedback for a wrong choice.</x:v>
      </x:c>
      <x:c r="B41" s="161"/>
      <x:c r="C41" s="161"/>
      <x:c r="D41" s="161"/>
      <x:c r="E41" s="161"/>
    </x:row>
    <x:row r="42" ht="36" customHeight="1">
      <x:c r="A42" s="161" t="str">
        <x:v>Let RAG/LLM wording override a P0/P1 deterministic command.</x:v>
      </x:c>
      <x:c r="B42" s="161"/>
      <x:c r="C42" s="161"/>
      <x:c r="D42" s="161"/>
      <x:c r="E42" s="161"/>
    </x:row>
    <x:row r="43" ht="36" customHeight="1">
      <x:c r="A43" s="162" t="str">
        <x:v>Store child name, face/video, raw voice after transcription, address, medical details, real roster, guardian identity, or free-form chat history by default.</x:v>
      </x:c>
      <x:c r="B43" s="162"/>
      <x:c r="C43" s="162"/>
      <x:c r="D43" s="162"/>
      <x:c r="E43" s="162"/>
    </x:row>
  </x:sheetData>
  <x:mergeCells>
    <x:mergeCell ref="A1:K1"/>
    <x:mergeCell ref="A2:K2"/>
    <x:mergeCell ref="A4:K4"/>
    <x:mergeCell ref="A6:K6"/>
    <x:mergeCell ref="A14:K14"/>
    <x:mergeCell ref="A24:K24"/>
    <x:mergeCell ref="A30:K30"/>
    <x:mergeCell ref="A37:K37"/>
    <x:mergeCell ref="A38:E38"/>
    <x:mergeCell ref="A39:E39"/>
    <x:mergeCell ref="A40:E40"/>
    <x:mergeCell ref="A41:E41"/>
    <x:mergeCell ref="A42:E42"/>
    <x:mergeCell ref="A43:E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5" hidden="0" customWidth="1"/>
    <x:col min="4" max="4" width="34" hidden="0" customWidth="1"/>
    <x:col min="5" max="5" width="38" hidden="0" customWidth="1"/>
    <x:col min="6" max="6" width="30" hidden="0" customWidth="1"/>
    <x:col min="7" max="7" width="34" hidden="0" customWidth="1"/>
    <x:col min="8" max="8" width="15" hidden="0" customWidth="1"/>
    <x:col min="9" max="9" width="20" hidden="0" customWidth="1"/>
    <x:col min="10" max="10" width="24" hidden="0" customWidth="1"/>
  </x:cols>
  <x:sheetData>
    <x:row r="1" ht="34" customHeight="1">
      <x:c r="A1" s="166" t="str">
        <x:v>SHARED VR TUTORIAL · BEFORE ALL HAZARD MISSIONS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</x:row>
    <x:row r="2" ht="34" customHeight="1">
      <x:c r="A2" s="9" t="str">
        <x:v>Teach controls, comfort, authority, CALM use, and the correction loop once—then keep each mission focused.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>
      <x:c r="A4" s="168" t="str">
        <x:v>State ID</x:v>
      </x:c>
      <x:c r="B4" s="168" t="str">
        <x:v>Tutorial beat</x:v>
      </x:c>
      <x:c r="C4" s="168" t="str">
        <x:v>Narrative / visible cue</x:v>
      </x:c>
      <x:c r="D4" s="168" t="str">
        <x:v>Learner objective</x:v>
      </x:c>
      <x:c r="E4" s="168" t="str">
        <x:v>CALM behavior</x:v>
      </x:c>
      <x:c r="F4" s="168" t="str">
        <x:v>Unity success gate</x:v>
      </x:c>
      <x:c r="G4" s="168" t="str">
        <x:v>Never do</x:v>
      </x:c>
      <x:c r="H4" s="168" t="str">
        <x:v>Next</x:v>
      </x:c>
      <x:c r="I4" s="168" t="str">
        <x:v>Owner</x:v>
      </x:c>
      <x:c r="J4" s="168" t="str">
        <x:v>Review status</x:v>
      </x:c>
    </x:row>
    <x:row r="5" ht="72" customHeight="1">
      <x:c r="A5" s="172" t="str">
        <x:v>TUT-01</x:v>
      </x:c>
      <x:c r="B5" s="34" t="str">
        <x:v>Comfort and simulation boundary</x:v>
      </x:c>
      <x:c r="C5" s="34" t="str">
        <x:v>Teacher avatar explains that this is a practice world; the learner can pause if dizzy, scared, or uncomfortable.</x:v>
      </x:c>
      <x:c r="D5" s="34" t="str">
        <x:v>Look around, open pause/comfort menu, confirm readiness.</x:v>
      </x:c>
      <x:c r="E5" s="34" t="str">
        <x:v>On request only; calmly direct the learner to the teacher/instructor for discomfort.</x:v>
      </x:c>
      <x:c r="F5" s="34" t="str">
        <x:v>Learner demonstrates pause and recenter.</x:v>
      </x:c>
      <x:c r="G5" s="34" t="str">
        <x:v>No forced continuation or fear-based audio.</x:v>
      </x:c>
      <x:c r="H5" s="34" t="str">
        <x:v>TUT-02</x:v>
      </x:c>
      <x:c r="I5" s="34" t="str">
        <x:v>Unity + facilitator</x:v>
      </x:c>
      <x:c r="J5" s="34" t="str">
        <x:v>NEEDS TEAM REVIEW</x:v>
      </x:c>
    </x:row>
    <x:row r="6" ht="72" customHeight="1">
      <x:c r="A6" s="173" t="str">
        <x:v>TUT-02</x:v>
      </x:c>
      <x:c r="B6" s="35" t="str">
        <x:v>Movement</x:v>
      </x:c>
      <x:c r="C6" s="35" t="str">
        <x:v>Practice the chosen locomotion method in a neutral room with soft boundaries.</x:v>
      </x:c>
      <x:c r="D6" s="35" t="str">
        <x:v>Move to two marked zones and stop at a boundary.</x:v>
      </x:c>
      <x:c r="E6" s="35" t="str">
        <x:v>Delayed hint only.</x:v>
      </x:c>
      <x:c r="F6" s="35" t="str">
        <x:v>Reach both zones without crossing boundary.</x:v>
      </x:c>
      <x:c r="G6" s="35" t="str">
        <x:v>No timed pressure during comfort training.</x:v>
      </x:c>
      <x:c r="H6" s="35" t="str">
        <x:v>TUT-03</x:v>
      </x:c>
      <x:c r="I6" s="35" t="str">
        <x:v>Unity</x:v>
      </x:c>
      <x:c r="J6" s="35" t="str">
        <x:v>NEEDS TEAM REVIEW</x:v>
      </x:c>
    </x:row>
    <x:row r="7" ht="72" customHeight="1">
      <x:c r="A7" s="173" t="str">
        <x:v>TUT-03</x:v>
      </x:c>
      <x:c r="B7" s="35" t="str">
        <x:v>Object interaction</x:v>
      </x:c>
      <x:c r="C7" s="35" t="str">
        <x:v>Select a harmless training object, inspect it, and return it to the marked spot.</x:v>
      </x:c>
      <x:c r="D7" s="35" t="str">
        <x:v>Point/select/grab/release using the final controller scheme.</x:v>
      </x:c>
      <x:c r="E7" s="35" t="str">
        <x:v>Confirm after success.</x:v>
      </x:c>
      <x:c r="F7" s="35" t="str">
        <x:v>Correct object interaction event received.</x:v>
      </x:c>
      <x:c r="G7" s="35" t="str">
        <x:v>No hazard objects in this beat.</x:v>
      </x:c>
      <x:c r="H7" s="35" t="str">
        <x:v>TUT-04</x:v>
      </x:c>
      <x:c r="I7" s="35" t="str">
        <x:v>Unity</x:v>
      </x:c>
      <x:c r="J7" s="35" t="str">
        <x:v>NEEDS TEAM REVIEW</x:v>
      </x:c>
    </x:row>
    <x:row r="8" ht="72" customHeight="1">
      <x:c r="A8" s="173" t="str">
        <x:v>TUT-04</x:v>
      </x:c>
      <x:c r="B8" s="35" t="str">
        <x:v>Ask CALM</x:v>
      </x:c>
      <x:c r="C8" s="35" t="str">
        <x:v>A CALM icon/voice cue appears. The teacher says CALM can answer disaster-learning questions.</x:v>
      </x:c>
      <x:c r="D8" s="35" t="str">
        <x:v>Ask: ‘Ano ang safe area?’ and hear the selected language.</x:v>
      </x:c>
      <x:c r="E8" s="35" t="str">
        <x:v>Answer on demand from a tutorial-safe P2 explanation.</x:v>
      </x:c>
      <x:c r="F8" s="35" t="str">
        <x:v>Question received; answer played; learner can repeat once.</x:v>
      </x:c>
      <x:c r="G8" s="35" t="str">
        <x:v>Do not imply CALM knows live alerts or the real school route.</x:v>
      </x:c>
      <x:c r="H8" s="35" t="str">
        <x:v>TUT-05</x:v>
      </x:c>
      <x:c r="I8" s="35" t="str">
        <x:v>AI + Unity</x:v>
      </x:c>
      <x:c r="J8" s="35" t="str">
        <x:v>NEEDS TEAM REVIEW</x:v>
      </x:c>
    </x:row>
    <x:row r="9" ht="72" customHeight="1">
      <x:c r="A9" s="173" t="str">
        <x:v>TUT-05</x:v>
      </x:c>
      <x:c r="B9" s="35" t="str">
        <x:v>Who has authority</x:v>
      </x:c>
      <x:c r="C9" s="35" t="str">
        <x:v>Teacher, CALM, and an official display are shown as different sources.</x:v>
      </x:c>
      <x:c r="D9" s="35" t="str">
        <x:v>Select who approves movement/release: teacher or authenticated authority—not CALM.</x:v>
      </x:c>
      <x:c r="E9" s="35" t="str">
        <x:v>Explain its supporting role.</x:v>
      </x:c>
      <x:c r="F9" s="35" t="str">
        <x:v>Correct authority selected.</x:v>
      </x:c>
      <x:c r="G9" s="35" t="str">
        <x:v>CALM never authorizes evacuation/reunification by itself.</x:v>
      </x:c>
      <x:c r="H9" s="35" t="str">
        <x:v>TUT-06</x:v>
      </x:c>
      <x:c r="I9" s="35" t="str">
        <x:v>Team + school</x:v>
      </x:c>
      <x:c r="J9" s="35" t="str">
        <x:v>NEEDS SCHOOL CONFIG</x:v>
      </x:c>
    </x:row>
    <x:row r="10" ht="72" customHeight="1">
      <x:c r="A10" s="173" t="str">
        <x:v>TUT-06</x:v>
      </x:c>
      <x:c r="B10" s="35" t="str">
        <x:v>Safe correction loop</x:v>
      </x:c>
      <x:c r="C10" s="35" t="str">
        <x:v>The learner intentionally chooses a harmless wrong marker.</x:v>
      </x:c>
      <x:c r="D10" s="35" t="str">
        <x:v>Experience pause → brief correction → retry → success.</x:v>
      </x:c>
      <x:c r="E10" s="35" t="str">
        <x:v>Give one calm sentence; no punishment.</x:v>
      </x:c>
      <x:c r="F10" s="35" t="str">
        <x:v>Correct marker selected on retry.</x:v>
      </x:c>
      <x:c r="G10" s="35" t="str">
        <x:v>No injury, trapping, score humiliation, or alternate ending.</x:v>
      </x:c>
      <x:c r="H10" s="35" t="str">
        <x:v>TUT-07</x:v>
      </x:c>
      <x:c r="I10" s="35" t="str">
        <x:v>Unity + AI</x:v>
      </x:c>
      <x:c r="J10" s="35" t="str">
        <x:v>NEEDS TEAM REVIEW</x:v>
      </x:c>
    </x:row>
    <x:row r="11" ht="72" customHeight="1">
      <x:c r="A11" s="173" t="str">
        <x:v>TUT-07</x:v>
      </x:c>
      <x:c r="B11" s="35" t="str">
        <x:v>Language choice</x:v>
      </x:c>
      <x:c r="C11" s="35" t="str">
        <x:v>English, Filipino, and Taglish samples are played with equivalent action order and negation.</x:v>
      </x:c>
      <x:c r="D11" s="35" t="str">
        <x:v>Choose preferred language for the session.</x:v>
      </x:c>
      <x:c r="E11" s="35" t="str">
        <x:v>Use stored language packs; no runtime translation for critical commands.</x:v>
      </x:c>
      <x:c r="F11" s="35" t="str">
        <x:v>locale saved for random session ID only.</x:v>
      </x:c>
      <x:c r="G11" s="35" t="str">
        <x:v>Do not infer ethnicity or store identity from language choice.</x:v>
      </x:c>
      <x:c r="H11" s="35" t="str">
        <x:v>TUT-08</x:v>
      </x:c>
      <x:c r="I11" s="35" t="str">
        <x:v>AI</x:v>
      </x:c>
      <x:c r="J11" s="35" t="str">
        <x:v>NEEDS TEAM REVIEW</x:v>
      </x:c>
    </x:row>
    <x:row r="12" ht="72" customHeight="1">
      <x:c r="A12" s="174" t="str">
        <x:v>TUT-08</x:v>
      </x:c>
      <x:c r="B12" s="121" t="str">
        <x:v>Mission readiness</x:v>
      </x:c>
      <x:c r="C12" s="121" t="str">
        <x:v>The hub shows Earthquake, Fire, and Typhoon modules and their Home/School/Outdoor variants.</x:v>
      </x:c>
      <x:c r="D12" s="121" t="str">
        <x:v>Choose the assigned mission; teacher confirms start.</x:v>
      </x:c>
      <x:c r="E12" s="121" t="str">
        <x:v>Stay silent unless asked.</x:v>
      </x:c>
      <x:c r="F12" s="121" t="str">
        <x:v>scenario_id and initial trusted state are loaded.</x:v>
      </x:c>
      <x:c r="G12" s="121" t="str">
        <x:v>Do not let a learner-created utterance define the state.</x:v>
      </x:c>
      <x:c r="H12" s="121" t="str">
        <x:v>MISSION-B01</x:v>
      </x:c>
      <x:c r="I12" s="121" t="str">
        <x:v>Unity + facilitator</x:v>
      </x:c>
      <x:c r="J12" s="121" t="str">
        <x:v>NEEDS TEAM REVIEW</x:v>
      </x:c>
    </x:row>
  </x:sheetData>
  <x:mergeCells>
    <x:mergeCell ref="A1:K1"/>
    <x:mergeCell ref="A2:K2"/>
  </x:mergeCells>
  <x:conditionalFormatting sqref="J5:J12">
    <x:cfRule type="containsText" dxfId="60" priority="1" operator="containsText" text="PROTOTYPE"/>
    <x:cfRule type="containsText" dxfId="61" priority="2" operator="containsText" text="READY"/>
    <x:cfRule type="containsText" dxfId="62" priority="3" operator="containsText" text="SCHOOL CONFIG"/>
    <x:cfRule type="containsText" dxfId="63" priority="4" operator="containsText" text="EXTERNAL"/>
    <x:cfRule type="containsText" dxfId="64" priority="5" operator="containsText" text="BFP/LDRRMO"/>
    <x:cfRule type="containsText" dxfId="65" priority="6" operator="containsText" text="TEAM REVIEW"/>
  </x:conditionalFormatting>
  <x:dataValidations count="1">
    <x:dataValidation type="list" sqref="J5:J12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ca759807e40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4" t="str">
        <x:v>EARTHQUAKE · HOME · LINEAR MISSION STORYBOARD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A learner prepares with a guardian, protects immediately during shaking, and follows the cleared family route afterward.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13" t="str">
        <x:v>STATUS
STORY DRAFT — NOT YET IN UNITY</x:v>
      </x:c>
      <x:c r="B3" s="13"/>
      <x:c r="C3" s="13" t="str">
        <x:v>EXPERIENCE
First-person · single-user · linear</x:v>
      </x:c>
      <x:c r="D3" s="13"/>
      <x:c r="E3" s="13" t="str">
        <x:v>AUTHORITY
Guardian NPC + trusted home configuration</x:v>
      </x:c>
      <x:c r="F3" s="13"/>
      <x:c r="G3" s="13" t="str">
        <x:v>LANGUAGE
Taglish draft shown; EN/FIL packs remain linked</x:v>
      </x:c>
      <x:c r="H3" s="13"/>
      <x:c r="I3" s="13" t="str">
        <x:v>LINEAR RULE
Unsafe choice → pause → calm correction → retry</x:v>
      </x:c>
      <x:c r="J3" s="13"/>
      <x:c r="K3" s="13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27" t="str">
        <x:v>State ID</x:v>
      </x:c>
      <x:c r="B6" s="28" t="str">
        <x:v>Phase</x:v>
      </x:c>
      <x:c r="C6" s="28" t="str">
        <x:v>Action / objective</x:v>
      </x:c>
      <x:c r="D6" s="28" t="str">
        <x:v>Narrative / context</x:v>
      </x:c>
      <x:c r="E6" s="28" t="str">
        <x:v>Trusted VR context sent to CALM</x:v>
      </x:c>
      <x:c r="F6" s="28" t="str">
        <x:v>Learner success gate</x:v>
      </x:c>
      <x:c r="G6" s="28" t="str">
        <x:v>CALM intervention + Taglish line</x:v>
      </x:c>
      <x:c r="H6" s="28" t="str">
        <x:v>Unsafe attempt / must never happen</x:v>
      </x:c>
      <x:c r="I6" s="28" t="str">
        <x:v>Protocol ID</x:v>
      </x:c>
      <x:c r="J6" s="28" t="str">
        <x:v>Next state</x:v>
      </x:c>
      <x:c r="K6" s="29" t="str">
        <x:v>Review status</x:v>
      </x:c>
    </x:row>
    <x:row r="7" ht="72" customHeight="1">
      <x:c r="A7" s="38" t="str">
        <x:v>EQ-H-B01</x:v>
      </x:c>
      <x:c r="B7" s="40" t="str">
        <x:v>BEFORE</x:v>
      </x:c>
      <x:c r="C7" s="34" t="str">
        <x:v>Find the nearest safe cover</x:v>
      </x:c>
      <x:c r="D7" s="34" t="str">
        <x:v>A calm home-safety activity begins in the living/dining area. The guardian asks the learner to point to a sturdy table and the family meeting place.</x:v>
      </x:c>
      <x:c r="E7" s="34" t="str">
        <x:v>setting=home; location_type=indoors; zone=HOME_DINING; shaking_active=false; safe_zone=FAMILY_POINT_A</x:v>
      </x:c>
      <x:c r="F7" s="34" t="str">
        <x:v>Select the nearest approved sturdy table and identify the configured family route/meeting point.</x:v>
      </x:c>
      <x:c r="G7" s="34" t="str">
        <x:v>ON QUESTION / CONFIRM
Know your safe place.
Alamin ang sturdy cover, approved exit, at assembly area kasama ang teacher o guardian.</x:v>
      </x:c>
      <x:c r="H7" s="34" t="str">
        <x:v>Window, shelf, doorway, or distant table is rejected; explain briefly and retry.</x:v>
      </x:c>
      <x:c r="I7" s="42" t="str">
        <x:v>EQ-BEF-001</x:v>
      </x:c>
      <x:c r="J7" s="34" t="str">
        <x:v>EQ-H-B02</x:v>
      </x:c>
      <x:c r="K7" s="34" t="str">
        <x:v>NEEDS TEAM REVIEW</x:v>
      </x:c>
    </x:row>
    <x:row r="8" ht="72" customHeight="1">
      <x:c r="A8" s="39" t="str">
        <x:v>EQ-H-B02</x:v>
      </x:c>
      <x:c r="B8" s="41" t="str">
        <x:v>BEFORE</x:v>
      </x:c>
      <x:c r="C8" s="35" t="str">
        <x:v>Report an unsecured heavy object</x:v>
      </x:c>
      <x:c r="D8" s="35" t="str">
        <x:v>A heavy box is placed high on a shelf as a visible but non-interactive hazard.</x:v>
      </x:c>
      <x:c r="E8" s="35" t="str">
        <x:v>unsafe_object_visible=true; responsible_adult_present=true</x:v>
      </x:c>
      <x:c r="F8" s="35" t="str">
        <x:v>Step away and use Tell Guardian. The adult NPC handles the object off-screen.</x:v>
      </x:c>
      <x:c r="G8" s="35" t="str">
        <x:v>ON QUESTION / CONFIRM
Step away and tell an adult.
Huwag galawin ang heavy o hanging object. Sabihin sa teacher o guardian kung nasaan ito.</x:v>
      </x:c>
      <x:c r="H8" s="35" t="str">
        <x:v>Climb, lift, tie, repair, or move is disabled; CALM never tells the child to fix it.</x:v>
      </x:c>
      <x:c r="I8" s="43" t="str">
        <x:v>EQ-BEF-003</x:v>
      </x:c>
      <x:c r="J8" s="35" t="str">
        <x:v>EQ-H-D01</x:v>
      </x:c>
      <x:c r="K8" s="35" t="str">
        <x:v>NEEDS TEAM REVIEW</x:v>
      </x:c>
    </x:row>
    <x:row r="9" ht="72" customHeight="1">
      <x:c r="A9" s="39" t="str">
        <x:v>EQ-H-D01</x:v>
      </x:c>
      <x:c r="B9" s="41" t="str">
        <x:v>DURING</x:v>
      </x:c>
      <x:c r="C9" s="35" t="str">
        <x:v>Drop, Cover, and Hold On</x:v>
      </x:c>
      <x:c r="D9" s="35" t="str">
        <x:v>A simulation-only shaking cue begins. Furniture sways gently; there are no graphic impacts.</x:v>
      </x:c>
      <x:c r="E9" s="35" t="str">
        <x:v>hazard_active=true; shaking_active=true; approved_cover_reachable=true</x:v>
      </x:c>
      <x:c r="F9" s="35" t="str">
        <x:v>Drop, move only the short safe distance to the nearest table, cover the head/neck, and hold.</x:v>
      </x:c>
      <x:c r="G9" s="35" t="str">
        <x:v>AUTO — P0 SAFETY
Drop, cover, and hold on.
Stay under the sturdy desk at protektahan ang head and neck hanggang huminto ang shaking.</x:v>
      </x:c>
      <x:c r="H9" s="35" t="str">
        <x:v>Searching for a book, helmet, go-bag, phone, or exit cannot advance the mission.</x:v>
      </x:c>
      <x:c r="I9" s="43" t="str">
        <x:v>EQ-DUR-001</x:v>
      </x:c>
      <x:c r="J9" s="35" t="str">
        <x:v>EQ-H-D04</x:v>
      </x:c>
      <x:c r="K9" s="35" t="str">
        <x:v>NEEDS TEAM REVIEW</x:v>
      </x:c>
    </x:row>
    <x:row r="10" ht="72" customHeight="1">
      <x:c r="A10" s="39" t="str">
        <x:v>EQ-H-D02</x:v>
      </x:c>
      <x:c r="B10" s="41" t="str">
        <x:v>DURING</x:v>
      </x:c>
      <x:c r="C10" s="35" t="str">
        <x:v>Correct an exit attempt</x:v>
      </x:c>
      <x:c r="D10" s="35" t="str">
        <x:v>If the learner heads toward the door, a soft boundary pauses movement without injury or fear effects.</x:v>
      </x:c>
      <x:c r="E10" s="35" t="str">
        <x:v>shaking_active=true; learner_heading_to_exit=true</x:v>
      </x:c>
      <x:c r="F10" s="35" t="str">
        <x:v>Return to the nearest approved cover and resume Hold On.</x:v>
      </x:c>
      <x:c r="G10" s="35" t="str">
        <x:v>AUTO — P0 CORRECTION
Do not run outside habang umuuga.
Stop, use the nearest approved cover, at hintaying huminto ang shaking.</x:v>
      </x:c>
      <x:c r="H10" s="35" t="str">
        <x:v>Never show debris striking the learner; never reward running outside.</x:v>
      </x:c>
      <x:c r="I10" s="43" t="str">
        <x:v>EQ-DUR-003</x:v>
      </x:c>
      <x:c r="J10" s="35" t="str">
        <x:v>EQ-H-D04</x:v>
      </x:c>
      <x:c r="K10" s="35" t="str">
        <x:v>NEEDS TEAM REVIEW</x:v>
      </x:c>
    </x:row>
    <x:row r="11" ht="72" customHeight="1">
      <x:c r="A11" s="39" t="str">
        <x:v>EQ-H-D03</x:v>
      </x:c>
      <x:c r="B11" s="41" t="str">
        <x:v>DURING</x:v>
      </x:c>
      <x:c r="C11" s="35" t="str">
        <x:v>Move away from glass safely</x:v>
      </x:c>
      <x:c r="D11" s="35" t="str">
        <x:v>If the learner is beside a window or shelf, Unity permits only the short validated movement toward nearby cover.</x:v>
      </x:c>
      <x:c r="E11" s="35" t="str">
        <x:v>shaking_active=true; near_falling_or_glass_hazard=true</x:v>
      </x:c>
      <x:c r="F11" s="35" t="str">
        <x:v>Stay low, protect the head, and use the nearest approved cover.</x:v>
      </x:c>
      <x:c r="G11" s="35" t="str">
        <x:v>AUTO — P0 CORRECTION
Stay away from glass and shelves.
Stay low, protect your head, at gamitin ang nearest approved cover nang hindi dumadaan sa unsafe area.</x:v>
      </x:c>
      <x:c r="H11" s="35" t="str">
        <x:v>Do not tell the learner to cross the room or stand beside glass.</x:v>
      </x:c>
      <x:c r="I11" s="43" t="str">
        <x:v>EQ-DUR-002</x:v>
      </x:c>
      <x:c r="J11" s="35" t="str">
        <x:v>EQ-H-D04</x:v>
      </x:c>
      <x:c r="K11" s="35" t="str">
        <x:v>NEEDS TEAM REVIEW</x:v>
      </x:c>
    </x:row>
    <x:row r="12" ht="72" customHeight="1">
      <x:c r="A12" s="39" t="str">
        <x:v>EQ-H-D04</x:v>
      </x:c>
      <x:c r="B12" s="41" t="str">
        <x:v>DURING</x:v>
      </x:c>
      <x:c r="C12" s="35" t="str">
        <x:v>Hold until shaking stops</x:v>
      </x:c>
      <x:c r="D12" s="35" t="str">
        <x:v>The learner remains under cover while the cue continues for a fixed, non-random duration.</x:v>
      </x:c>
      <x:c r="E12" s="35" t="str">
        <x:v>shaking_active=true; learner_action=holding_under_cover</x:v>
      </x:c>
      <x:c r="F12" s="35" t="str">
        <x:v>Maintain the protective pose until Unity changes shaking_active to false.</x:v>
      </x:c>
      <x:c r="G12" s="35" t="str">
        <x:v>DELAYED HINT IF RELEASED
Drop, cover, and hold on.
Stay under the sturdy desk at protektahan ang head and neck hanggang huminto ang shaking.</x:v>
      </x:c>
      <x:c r="H12" s="35" t="str">
        <x:v>Early release is paused and corrected; no alternate ending.</x:v>
      </x:c>
      <x:c r="I12" s="43" t="str">
        <x:v>EQ-DUR-001</x:v>
      </x:c>
      <x:c r="J12" s="35" t="str">
        <x:v>EQ-H-A01</x:v>
      </x:c>
      <x:c r="K12" s="35" t="str">
        <x:v>NEEDS TEAM REVIEW</x:v>
      </x:c>
    </x:row>
    <x:row r="13" ht="72" customHeight="1">
      <x:c r="A13" s="39" t="str">
        <x:v>EQ-H-A01</x:v>
      </x:c>
      <x:c r="B13" s="41" t="str">
        <x:v>AFTER</x:v>
      </x:c>
      <x:c r="C13" s="35" t="str">
        <x:v>Follow the guardian on the cleared route</x:v>
      </x:c>
      <x:c r="D13" s="35" t="str">
        <x:v>Shaking stops. The guardian checks the scripted route and gives the movement cue.</x:v>
      </x:c>
      <x:c r="E13" s="35" t="str">
        <x:v>shaking_active=false; safe_route_id=HOME_ROUTE_A; route_state=OPEN; responsible_adult_present=true</x:v>
      </x:c>
      <x:c r="F13" s="35" t="str">
        <x:v>Walk with the guardian to FAMILY_POINT_A without retrieving belongings.</x:v>
      </x:c>
      <x:c r="G13" s="35" t="str">
        <x:v>AUTO — P1 INSTRUCTION
Stay with your guardian.
Follow the approved safe route papunta sa family meeting place at huwag hawakan ang damaged objects o utilities.</x:v>
      </x:c>
      <x:c r="H13" s="35" t="str">
        <x:v>A blocked/unknown route fails closed; CALM never invents a shortcut.</x:v>
      </x:c>
      <x:c r="I13" s="43" t="str">
        <x:v>EQ-AFT-002</x:v>
      </x:c>
      <x:c r="J13" s="35" t="str">
        <x:v>EQ-H-A02</x:v>
      </x:c>
      <x:c r="K13" s="35" t="str">
        <x:v>NEEDS TEAM REVIEW</x:v>
      </x:c>
    </x:row>
    <x:row r="14" ht="72" customHeight="1">
      <x:c r="A14" s="39" t="str">
        <x:v>EQ-H-A02</x:v>
      </x:c>
      <x:c r="B14" s="41" t="str">
        <x:v>AFTER</x:v>
      </x:c>
      <x:c r="C14" s="35" t="str">
        <x:v>Stay at the family meeting point</x:v>
      </x:c>
      <x:c r="D14" s="35" t="str">
        <x:v>The learner arrives outside with the guardian and reports any concern.</x:v>
      </x:c>
      <x:c r="E14" s="35" t="str">
        <x:v>location_type=outdoor; at_safe_zone=true; safe_zone_id=FAMILY_POINT_A</x:v>
      </x:c>
      <x:c r="F14" s="35" t="str">
        <x:v>Remain with the guardian; report a fictional missing avatar or injury if prompted.</x:v>
      </x:c>
      <x:c r="G14" s="35" t="str">
        <x:v>ON QUESTION / CONFIRM
Tell an adult who needs help.
Sabihin sa teacher, guardian, o responder ang name at last safe location, then stay sa safe area.</x:v>
      </x:c>
      <x:c r="H14" s="35" t="str">
        <x:v>Do not self-rescue, give treatment, or enter a damaged area.</x:v>
      </x:c>
      <x:c r="I14" s="43" t="str">
        <x:v>EQ-AFT-005</x:v>
      </x:c>
      <x:c r="J14" s="35" t="str">
        <x:v>EQ-H-A03</x:v>
      </x:c>
      <x:c r="K14" s="35" t="str">
        <x:v>NEEDS TEAM REVIEW</x:v>
      </x:c>
    </x:row>
    <x:row r="15" ht="72" customHeight="1">
      <x:c r="A15" s="39" t="str">
        <x:v>EQ-H-A03</x:v>
      </x:c>
      <x:c r="B15" s="41" t="str">
        <x:v>AFTER</x:v>
      </x:c>
      <x:c r="C15" s="35" t="str">
        <x:v>Protect again during an aftershock</x:v>
      </x:c>
      <x:c r="D15" s="35" t="str">
        <x:v>A brief scripted aftershock interrupts the waiting beat.</x:v>
      </x:c>
      <x:c r="E15" s="35" t="str">
        <x:v>aftershock_active=true; location_type=outdoor; zone=FAMILY_POINT_A</x:v>
      </x:c>
      <x:c r="F15" s="35" t="str">
        <x:v>Stop, protect the head/neck, remain in the approved open area until it ends.</x:v>
      </x:c>
      <x:c r="G15" s="35" t="str">
        <x:v>AUTO — P0 OVERRIDE
Aftershock—stop and protect again.
Use the approved protective action for your current zone at hintaying huminto ang shaking.</x:v>
      </x:c>
      <x:c r="H15" s="35" t="str">
        <x:v>Do not run back inside or toward walls, trees, poles, or wires.</x:v>
      </x:c>
      <x:c r="I15" s="43" t="str">
        <x:v>EQ-AFT-006</x:v>
      </x:c>
      <x:c r="J15" s="35" t="str">
        <x:v>EQ-H-A04</x:v>
      </x:c>
      <x:c r="K15" s="35" t="str">
        <x:v>NEEDS TEAM REVIEW</x:v>
      </x:c>
    </x:row>
    <x:row r="16" ht="72" customHeight="1">
      <x:c r="A16" s="39" t="str">
        <x:v>EQ-H-A04</x:v>
      </x:c>
      <x:c r="B16" s="41" t="str">
        <x:v>AFTER</x:v>
      </x:c>
      <x:c r="C16" s="35" t="str">
        <x:v>Do not re-enter</x:v>
      </x:c>
      <x:c r="D16" s="35" t="str">
        <x:v>The learner notices a forgotten bag near the doorway. The structure is not cleared.</x:v>
      </x:c>
      <x:c r="E16" s="35" t="str">
        <x:v>learner_action=attempt_reentry; structure_damaged_or_not_cleared=true</x:v>
      </x:c>
      <x:c r="F16" s="35" t="str">
        <x:v>Stay outside, tell the guardian, and wait for authority clearance.</x:v>
      </x:c>
      <x:c r="G16" s="35" t="str">
        <x:v>AUTO — P1 CORRECTION
Do not go back inside.
Stay sa safe area at hintayin ang authority na sabihing safe na ang building.</x:v>
      </x:c>
      <x:c r="H16" s="35" t="str">
        <x:v>Never authorize re-entry for a bag, pet, person, or inspection.</x:v>
      </x:c>
      <x:c r="I16" s="43" t="str">
        <x:v>EQ-AFT-004</x:v>
      </x:c>
      <x:c r="J16" s="35" t="str">
        <x:v>EQ-H-END</x:v>
      </x:c>
      <x:c r="K16" s="35" t="str">
        <x:v>NEEDS TEAM REVIEW</x:v>
      </x:c>
    </x:row>
    <x:row r="17" ht="72" customHeight="1">
      <x:c r="A17" s="39" t="str">
        <x:v>EQ-H-END</x:v>
      </x:c>
      <x:c r="B17" s="41" t="str">
        <x:v>AFTER</x:v>
      </x:c>
      <x:c r="C17" s="35" t="str">
        <x:v>Complete the mission safely</x:v>
      </x:c>
      <x:c r="D17" s="35" t="str">
        <x:v>The guardian confirms that the learner prepared, protected, evacuated, and stayed outside.</x:v>
      </x:c>
      <x:c r="E17" s="35" t="str">
        <x:v>mission_complete=true; at_safe_zone=true</x:v>
      </x:c>
      <x:c r="F17" s="35" t="str">
        <x:v>End in the safe area; dashboard stores only state/protocol completion events.</x:v>
      </x:c>
      <x:c r="G17" s="35" t="str">
        <x:v>SILENT / OPTIONAL SUMMARY
Stay with your guardian.
Follow the approved safe route papunta sa family meeting place at huwag hawakan ang damaged objects o utilities.</x:v>
      </x:c>
      <x:c r="H17" s="35" t="str">
        <x:v>No names, raw voice, address, medical detail, or conversation history is stored.</x:v>
      </x:c>
      <x:c r="I17" s="43" t="str">
        <x:v>EQ-AFT-002</x:v>
      </x:c>
      <x:c r="J17" s="35" t="str">
        <x:v>END</x:v>
      </x:c>
      <x:c r="K17" s="35" t="str">
        <x:v>NEEDS TEAM REVIEW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7">
    <x:cfRule type="containsText" dxfId="0" priority="1" operator="containsText" text="PROTOTYPE"/>
    <x:cfRule type="containsText" dxfId="1" priority="2" operator="containsText" text="READY"/>
    <x:cfRule type="containsText" dxfId="2" priority="3" operator="containsText" text="SCHOOL CONFIG"/>
    <x:cfRule type="containsText" dxfId="3" priority="4" operator="containsText" text="EXTERNAL"/>
    <x:cfRule type="containsText" dxfId="4" priority="5" operator="containsText" text="BFP/LDRRMO"/>
    <x:cfRule type="containsText" dxfId="5" priority="6" operator="containsText" text="TEAM REVIEW"/>
  </x:conditionalFormatting>
  <x:dataValidations count="1">
    <x:dataValidation type="list" sqref="K7:K17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85140c27ac43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4" t="str">
        <x:v>EARTHQUAKE · SCHOOL · LINEAR MISSION STORYBOARD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Recommended first vertical slice: prepare → protect → wait → teacher-led evacuation → assembly/headcount → aftershock → no re-entry.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13" t="str">
        <x:v>STATUS
EXECUTABLE 17-STATE CONTRACT · DEVELOPMENT ONLY</x:v>
      </x:c>
      <x:c r="B3" s="13"/>
      <x:c r="C3" s="13" t="str">
        <x:v>EXPERIENCE
First-person · single-user · linear</x:v>
      </x:c>
      <x:c r="D3" s="13"/>
      <x:c r="E3" s="13" t="str">
        <x:v>AUTHORITY
Teacher NPC + versioned school profile</x:v>
      </x:c>
      <x:c r="F3" s="13"/>
      <x:c r="G3" s="13" t="str">
        <x:v>LANGUAGE
Taglish draft shown; EN/FIL packs remain linked</x:v>
      </x:c>
      <x:c r="H3" s="13"/>
      <x:c r="I3" s="13" t="str">
        <x:v>LINEAR RULE
Unsafe choice → pause → calm correction → retry</x:v>
      </x:c>
      <x:c r="J3" s="13"/>
      <x:c r="K3" s="13"/>
    </x:row>
    <x:row r="4" ht="42" customHeight="1">
      <x:c r="A4" s="16" t="str">
        <x:v>Executable source: school-earthquake-minimal revision 1.0.0. CALM validates each expanded state and selects reviewed protocol wording; Unity owns objects, collision guards, routes, cues, NPC authority, success gates, and transitions. SIM_* and demo school values are not real-emergency instructions.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27" t="str">
        <x:v>State ID</x:v>
      </x:c>
      <x:c r="B6" s="28" t="str">
        <x:v>Phase</x:v>
      </x:c>
      <x:c r="C6" s="28" t="str">
        <x:v>Action / objective</x:v>
      </x:c>
      <x:c r="D6" s="28" t="str">
        <x:v>Narrative / context</x:v>
      </x:c>
      <x:c r="E6" s="28" t="str">
        <x:v>Trusted VR context sent to CALM</x:v>
      </x:c>
      <x:c r="F6" s="28" t="str">
        <x:v>Learner success gate</x:v>
      </x:c>
      <x:c r="G6" s="28" t="str">
        <x:v>CALM intervention + Taglish line</x:v>
      </x:c>
      <x:c r="H6" s="28" t="str">
        <x:v>Unsafe attempt / must never happen</x:v>
      </x:c>
      <x:c r="I6" s="28" t="str">
        <x:v>Protocol ID</x:v>
      </x:c>
      <x:c r="J6" s="28" t="str">
        <x:v>Next state</x:v>
      </x:c>
      <x:c r="K6" s="29" t="str">
        <x:v>Review status</x:v>
      </x:c>
    </x:row>
    <x:row r="7" ht="108" customHeight="1">
      <x:c r="A7" s="192" t="str">
        <x:v>EQ-S-B01</x:v>
      </x:c>
      <x:c r="B7" s="190" t="str">
        <x:v>BEFORE</x:v>
      </x:c>
      <x:c r="C7" s="191" t="str">
        <x:v>Choose the nearest approved cover</x:v>
      </x:c>
      <x:c r="D7" s="191" t="str">
        <x:v>A Grade 4 DRRM class begins. The teacher asks the learner to identify the closest sturdy student desk and the assigned assembly marker.</x:v>
      </x:c>
      <x:c r="E7" s="191" t="str">
        <x:v>phase=before; zone=CLASSROOM_A; approved_cover_reachable=true</x:v>
      </x:c>
      <x:c r="F7" s="191" t="str">
        <x:v>Select the nearest sturdy desk—not the teacher’s desk across the room—and identify ASSEMBLY_A.</x:v>
      </x:c>
      <x:c r="G7" s="191" t="str">
        <x:v>ON QUESTION / CONFIRM
Know your safe place.
Alamin ang sturdy cover, approved exit, at assembly area kasama ang teacher o guardian.</x:v>
      </x:c>
      <x:c r="H7" s="191" t="str">
        <x:v>Reject windows, shelves, doorways, and crossing the room for distant cover; retry calmly.</x:v>
      </x:c>
      <x:c r="I7" s="192" t="str">
        <x:v>EQ-BEF-001</x:v>
      </x:c>
      <x:c r="J7" s="192" t="str">
        <x:v>EQ-S-B02</x:v>
      </x:c>
      <x:c r="K7" s="192" t="str">
        <x:v>CONTRACT v1.0.0</x:v>
      </x:c>
    </x:row>
    <x:row r="8" ht="108" customHeight="1">
      <x:c r="A8" s="196" t="str">
        <x:v>EQ-S-B02</x:v>
      </x:c>
      <x:c r="B8" s="194" t="str">
        <x:v>BEFORE</x:v>
      </x:c>
      <x:c r="C8" s="195" t="str">
        <x:v>Report an unsafe classroom object</x:v>
      </x:c>
      <x:c r="D8" s="195" t="str">
        <x:v>An unsecured heavy or hanging classroom object is highlighted. It remains non-interactive.</x:v>
      </x:c>
      <x:c r="E8" s="195" t="str">
        <x:v>unsafe_object_visible=true; responsible_adult_present=true</x:v>
      </x:c>
      <x:c r="F8" s="195" t="str">
        <x:v>Step away and tell the teacher where the object is.</x:v>
      </x:c>
      <x:c r="G8" s="195" t="str">
        <x:v>ON QUESTION / CONFIRM
Step away and tell an adult.
Huwag galawin ang heavy o hanging object. Sabihin sa teacher o guardian kung nasaan ito.</x:v>
      </x:c>
      <x:c r="H8" s="195" t="str">
        <x:v>No climbing, lifting, tying, moving, or repairing by the learner.</x:v>
      </x:c>
      <x:c r="I8" s="196" t="str">
        <x:v>EQ-BEF-003</x:v>
      </x:c>
      <x:c r="J8" s="196" t="str">
        <x:v>EQ-S-B03</x:v>
      </x:c>
      <x:c r="K8" s="196" t="str">
        <x:v>CONTRACT v1.0.0</x:v>
      </x:c>
    </x:row>
    <x:row r="9" ht="108" customHeight="1">
      <x:c r="A9" s="200" t="str">
        <x:v>EQ-S-B03</x:v>
      </x:c>
      <x:c r="B9" s="198" t="str">
        <x:v>BEFORE</x:v>
      </x:c>
      <x:c r="C9" s="199" t="str">
        <x:v>Learn the approved route and assembly area</x:v>
      </x:c>
      <x:c r="D9" s="199" t="str">
        <x:v>The teacher points out the configured primary route, alternate route, and assembly area before the drill.</x:v>
      </x:c>
      <x:c r="E9" s="199" t="str">
        <x:v>primary=ROUTE_CLASSROOM_A_PRIMARY; alternate=ROUTE_CLASSROOM_A_ALTERNATE; safe_zone_id=ASSEMBLY_A; route states UNKNOWN</x:v>
      </x:c>
      <x:c r="F9" s="199" t="str">
        <x:v>Identify the configured route and ASSEMBLY_A; this learning beat does not authorize movement.</x:v>
      </x:c>
      <x:c r="G9" s="199" t="str">
        <x:v>ON QUESTION / CONFIRM
Know your safe place.
Alamin ang sturdy cover, approved exit, at assembly area kasama ang teacher o guardian.</x:v>
      </x:c>
      <x:c r="H9" s="199" t="str">
        <x:v>CALM must not invent campus geometry, alarm meaning, a shortcut, or an assembly area.</x:v>
      </x:c>
      <x:c r="I9" s="200" t="str">
        <x:v>EQ-BEF-001</x:v>
      </x:c>
      <x:c r="J9" s="200" t="str">
        <x:v>EQ-S-D01</x:v>
      </x:c>
      <x:c r="K9" s="200" t="str">
        <x:v>NEEDS REAL SCHOOL CONFIG</x:v>
      </x:c>
    </x:row>
    <x:row r="10" ht="108" customHeight="1">
      <x:c r="A10" s="196" t="str">
        <x:v>EQ-S-D01</x:v>
      </x:c>
      <x:c r="B10" s="194" t="str">
        <x:v>DURING</x:v>
      </x:c>
      <x:c r="C10" s="195" t="str">
        <x:v>Drop, Cover, and Hold On</x:v>
      </x:c>
      <x:c r="D10" s="195" t="str">
        <x:v>SIM_EQ_SHAKING_CUE begins. The tone is urgent but non-frightening.</x:v>
      </x:c>
      <x:c r="E10" s="195" t="str">
        <x:v>hazard_active=true; shaking_active=true; indoors; approved_cover_reachable=true</x:v>
      </x:c>
      <x:c r="F10" s="195" t="str">
        <x:v>Drop, enter the nearest approved desk cover, protect the head/neck, and hold.</x:v>
      </x:c>
      <x:c r="G10" s="195" t="str">
        <x:v>AUTO — P0 SAFETY
Drop, cover, and hold on.
Stay under the sturdy desk at protektahan ang head and neck hanggang huminto ang shaking.</x:v>
      </x:c>
      <x:c r="H10" s="195" t="str">
        <x:v>Book, hard hat, whistle, and go-bag retrieval are never presented as protection.</x:v>
      </x:c>
      <x:c r="I10" s="196" t="str">
        <x:v>EQ-DUR-001</x:v>
      </x:c>
      <x:c r="J10" s="196" t="str">
        <x:v>EQ-S-D04; corrections D02/D03</x:v>
      </x:c>
      <x:c r="K10" s="196" t="str">
        <x:v>CONTRACT v1.0.0</x:v>
      </x:c>
    </x:row>
    <x:row r="11" ht="108" customHeight="1">
      <x:c r="A11" s="200" t="str">
        <x:v>EQ-S-D02</x:v>
      </x:c>
      <x:c r="B11" s="198" t="str">
        <x:v>DURING</x:v>
      </x:c>
      <x:c r="C11" s="199" t="str">
        <x:v>Correct a run-to-exit attempt</x:v>
      </x:c>
      <x:c r="D11" s="199" t="str">
        <x:v>The learner approaches the classroom exit during shaking. Unity applies a soft stop and safe retry.</x:v>
      </x:c>
      <x:c r="E11" s="199" t="str">
        <x:v>shaking_active=true; learner_heading_to_exit=true; approved_cover_reachable=true</x:v>
      </x:c>
      <x:c r="F11" s="199" t="str">
        <x:v>Stop and return to the nearest approved cover.</x:v>
      </x:c>
      <x:c r="G11" s="199" t="str">
        <x:v>AUTO — P0 CORRECTION
Do not run outside habang umuuga.
Stop, use the nearest approved cover, at hintaying huminto ang shaking.</x:v>
      </x:c>
      <x:c r="H11" s="199" t="str">
        <x:v>No debris hit, trapping, jump scare, injury score, or alternate ending.</x:v>
      </x:c>
      <x:c r="I11" s="200" t="str">
        <x:v>EQ-DUR-003</x:v>
      </x:c>
      <x:c r="J11" s="200" t="str">
        <x:v>EQ-S-D04</x:v>
      </x:c>
      <x:c r="K11" s="200" t="str">
        <x:v>CONTRACT v1.0.0</x:v>
      </x:c>
    </x:row>
    <x:row r="12" ht="108" customHeight="1">
      <x:c r="A12" s="196" t="str">
        <x:v>EQ-S-D03</x:v>
      </x:c>
      <x:c r="B12" s="194" t="str">
        <x:v>DURING</x:v>
      </x:c>
      <x:c r="C12" s="195" t="str">
        <x:v>Correct movement near glass or shelves</x:v>
      </x:c>
      <x:c r="D12" s="195" t="str">
        <x:v>A trusted proximity trigger detects the learner beside glass or a cabinet.</x:v>
      </x:c>
      <x:c r="E12" s="195" t="str">
        <x:v>shaking_active=true; near_falling_or_glass_hazard=true; approved_cover_reachable=true</x:v>
      </x:c>
      <x:c r="F12" s="195" t="str">
        <x:v>Stay low and move only the short validated distance to nearby approved cover.</x:v>
      </x:c>
      <x:c r="G12" s="195" t="str">
        <x:v>AUTO — P0 CORRECTION
Stay away from glass and shelves.
Stay low, protect your head, at gamitin ang nearest approved cover nang hindi dumadaan sa unsafe area.</x:v>
      </x:c>
      <x:c r="H12" s="195" t="str">
        <x:v>Never direct the learner across the room or through an unsafe area.</x:v>
      </x:c>
      <x:c r="I12" s="196" t="str">
        <x:v>EQ-DUR-002</x:v>
      </x:c>
      <x:c r="J12" s="196" t="str">
        <x:v>EQ-S-D04</x:v>
      </x:c>
      <x:c r="K12" s="196" t="str">
        <x:v>CONTRACT v1.0.0</x:v>
      </x:c>
    </x:row>
    <x:row r="13" ht="108" customHeight="1">
      <x:c r="A13" s="200" t="str">
        <x:v>EQ-S-D04</x:v>
      </x:c>
      <x:c r="B13" s="198" t="str">
        <x:v>DURING</x:v>
      </x:c>
      <x:c r="C13" s="199" t="str">
        <x:v>Hold until the shaking cue ends</x:v>
      </x:c>
      <x:c r="D13" s="199" t="str">
        <x:v>The protected pose remains the only completion gate during the fixed shaking interval.</x:v>
      </x:c>
      <x:c r="E13" s="199" t="str">
        <x:v>shaking_active=true; learner_action=holding_under_cover; approved_cover_reachable=true</x:v>
      </x:c>
      <x:c r="F13" s="199" t="str">
        <x:v>Remain protected until trusted state sets shaking_active=false.</x:v>
      </x:c>
      <x:c r="G13" s="199" t="str">
        <x:v>DELAYED HINT IF RELEASED
Drop, cover, and hold on.
Stay under the sturdy desk at protektahan ang head and neck hanggang huminto ang shaking.</x:v>
      </x:c>
      <x:c r="H13" s="199" t="str">
        <x:v>Unrelated questions are deferred until the P0 state ends.</x:v>
      </x:c>
      <x:c r="I13" s="200" t="str">
        <x:v>EQ-DUR-001</x:v>
      </x:c>
      <x:c r="J13" s="200" t="str">
        <x:v>EQ-S-A01; corrections D02/D03</x:v>
      </x:c>
      <x:c r="K13" s="200" t="str">
        <x:v>CONTRACT v1.0.0</x:v>
      </x:c>
    </x:row>
    <x:row r="14" ht="108" customHeight="1">
      <x:c r="A14" s="196" t="str">
        <x:v>EQ-S-A01</x:v>
      </x:c>
      <x:c r="B14" s="194" t="str">
        <x:v>AFTER</x:v>
      </x:c>
      <x:c r="C14" s="195" t="str">
        <x:v>Wait for the teacher’s evacuation instruction</x:v>
      </x:c>
      <x:c r="D14" s="195" t="str">
        <x:v>Shaking stops; the learner remains with the class until the teacher supplies the synthetic evacuation cue.</x:v>
      </x:c>
      <x:c r="E14" s="195" t="str">
        <x:v>shaking_active=false; teacher_evacuate_instruction=false; zone=CLASSROOM_A</x:v>
      </x:c>
      <x:c r="F14" s="195" t="str">
        <x:v>Stay with the class and listen; do not select an exit yet.</x:v>
      </x:c>
      <x:c r="G14" s="195" t="str">
        <x:v>AUTO — P1 INSTRUCTION
Stay with your teacher and wait.
Huwag pumili ng sariling exit. Move only kapag ibinigay ng teacher ang approved route.</x:v>
      </x:c>
      <x:c r="H14" s="195" t="str">
        <x:v>No self-evacuation, running, bag retrieval, or learner-selected route.</x:v>
      </x:c>
      <x:c r="I14" s="196" t="str">
        <x:v>EQ-AFT-007</x:v>
      </x:c>
      <x:c r="J14" s="196" t="str">
        <x:v>EQ-S-A02</x:v>
      </x:c>
      <x:c r="K14" s="196" t="str">
        <x:v>CONTRACT v1.0.0</x:v>
      </x:c>
    </x:row>
    <x:row r="15" ht="108" customHeight="1">
      <x:c r="A15" s="200" t="str">
        <x:v>EQ-S-A02</x:v>
      </x:c>
      <x:c r="B15" s="198" t="str">
        <x:v>AFTER</x:v>
      </x:c>
      <x:c r="C15" s="199" t="str">
        <x:v>Begin teacher-led evacuation</x:v>
      </x:c>
      <x:c r="D15" s="199" t="str">
        <x:v>The teacher activates SIM_EQ_EVACUATE_CUE. The class forms a calm line.</x:v>
      </x:c>
      <x:c r="E15" s="199" t="str">
        <x:v>teacher_evacuate_instruction=true; primary BLOCKED; alternate OPEN; safe_route_id=ROUTE_CLASSROOM_A_PRIMARY</x:v>
      </x:c>
      <x:c r="F15" s="199" t="str">
        <x:v>The route resolver selects ROUTE_CLASSROOM_A_ALTERNATE; walk with the teacher.</x:v>
      </x:c>
      <x:c r="G15" s="199" t="str">
        <x:v>AUTO — P0 INSTRUCTION
Walk with your teacher to the assembly area.
Follow the approved route, huwag tumakbo o manulak, at stay with your class for headcount.</x:v>
      </x:c>
      <x:c r="H15" s="199" t="str">
        <x:v>No running, pushing, elevator use, belongings retrieval, or movement without an OPEN configured route.</x:v>
      </x:c>
      <x:c r="I15" s="200" t="str">
        <x:v>EQ-AFT-001</x:v>
      </x:c>
      <x:c r="J15" s="200" t="str">
        <x:v>EQ-S-A03 or H01</x:v>
      </x:c>
      <x:c r="K15" s="200" t="str">
        <x:v>NEEDS REAL SCHOOL CONFIG</x:v>
      </x:c>
    </x:row>
    <x:row r="16" ht="108" customHeight="1">
      <x:c r="A16" s="196" t="str">
        <x:v>EQ-S-A03</x:v>
      </x:c>
      <x:c r="B16" s="194" t="str">
        <x:v>AFTER</x:v>
      </x:c>
      <x:c r="C16" s="195" t="str">
        <x:v>Follow the configured open route</x:v>
      </x:c>
      <x:c r="D16" s="195" t="str">
        <x:v>The primary route is visibly blocked by non-graphic debris; the teacher leads through the configured alternate.</x:v>
      </x:c>
      <x:c r="E16" s="195" t="str">
        <x:v>ROUTE_CLASSROOM_A_PRIMARY=BLOCKED; ROUTE_CLASSROOM_A_ALTERNATE=OPEN; safe_zone_id=ASSEMBLY_A</x:v>
      </x:c>
      <x:c r="F16" s="195" t="str">
        <x:v>Remain inside the alternate-route corridor until the trusted assembly trigger is reached.</x:v>
      </x:c>
      <x:c r="G16" s="195" t="str">
        <x:v>AUTO — ROUTE GUARD
Walk with your teacher to the assembly area.
Follow the approved route, huwag tumakbo o manulak, at stay with your class for headcount.</x:v>
      </x:c>
      <x:c r="H16" s="195" t="str">
        <x:v>If the route snapshot changes, Unity revokes movement immediately; CALM never invents Route C.</x:v>
      </x:c>
      <x:c r="I16" s="196" t="str">
        <x:v>EQ-AFT-001</x:v>
      </x:c>
      <x:c r="J16" s="196" t="str">
        <x:v>EQ-S-A04 or H01</x:v>
      </x:c>
      <x:c r="K16" s="196" t="str">
        <x:v>NEEDS REAL SCHOOL CONFIG</x:v>
      </x:c>
    </x:row>
    <x:row r="17" ht="108" customHeight="1">
      <x:c r="A17" s="200" t="str">
        <x:v>EQ-S-H01-NO-ROUTE</x:v>
      </x:c>
      <x:c r="B17" s="198" t="str">
        <x:v>AFTER</x:v>
      </x:c>
      <x:c r="C17" s="199" t="str">
        <x:v>Hold when no approved route is open</x:v>
      </x:c>
      <x:c r="D17" s="199" t="str">
        <x:v>Both configured routes become BLOCKED. The class stays at its current safe holding point with the teacher.</x:v>
      </x:c>
      <x:c r="E17" s="199" t="str">
        <x:v>primary=BLOCKED; alternate=BLOCKED; teacher_evacuate_instruction=true; zone=CLASSROOM_A</x:v>
      </x:c>
      <x:c r="F17" s="199" t="str">
        <x:v>Do not move until a new trusted route snapshot provides a configured OPEN route.</x:v>
      </x:c>
      <x:c r="G17" s="199" t="str">
        <x:v>AUTO — FAIL-CLOSED HOLD
Walang approved open route ang simulation ngayon. Stay with your teacher at huwag pumili ng sariling exit.</x:v>
      </x:c>
      <x:c r="H17" s="199" t="str">
        <x:v>No self-selected exit, blocked route, shortcut, invented route, or movement authorization.</x:v>
      </x:c>
      <x:c r="I17" s="200" t="str">
        <x:v>EQ-AFT-001</x:v>
      </x:c>
      <x:c r="J17" s="200" t="str">
        <x:v>EQ-S-A02 or EQ-S-A03 after trusted update</x:v>
      </x:c>
      <x:c r="K17" s="200" t="str">
        <x:v>CONTRACT v1.0.0</x:v>
      </x:c>
    </x:row>
    <x:row r="18" ht="108" customHeight="1">
      <x:c r="A18" s="196" t="str">
        <x:v>EQ-S-A04</x:v>
      </x:c>
      <x:c r="B18" s="194" t="str">
        <x:v>AFTER</x:v>
      </x:c>
      <x:c r="C18" s="195" t="str">
        <x:v>Stay for assembly and headcount</x:v>
      </x:c>
      <x:c r="D18" s="195" t="str">
        <x:v>The class reaches ASSEMBLY_A. The teacher begins a fictional-avatar headcount.</x:v>
      </x:c>
      <x:c r="E18" s="195" t="str">
        <x:v>outdoor; zone=ASSEMBLY_A; at_assembly_area=true; headcount_active=true</x:v>
      </x:c>
      <x:c r="F18" s="195" t="str">
        <x:v>Stay with the class and answer the teacher.</x:v>
      </x:c>
      <x:c r="G18" s="195" t="str">
        <x:v>ON QUESTION / CONFIRM
Stay with your class for headcount.
Answer your teacher, i-report kung may need ng help, at wait sa assigned assembly area.</x:v>
      </x:c>
      <x:c r="H18" s="195" t="str">
        <x:v>The learner does not leave the group, search, re-enter, or conduct the headcount.</x:v>
      </x:c>
      <x:c r="I18" s="196" t="str">
        <x:v>EQ-AFT-008</x:v>
      </x:c>
      <x:c r="J18" s="196" t="str">
        <x:v>EQ-S-A05</x:v>
      </x:c>
      <x:c r="K18" s="196" t="str">
        <x:v>CONTRACT v1.0.0</x:v>
      </x:c>
    </x:row>
    <x:row r="19" ht="108" customHeight="1">
      <x:c r="A19" s="200" t="str">
        <x:v>EQ-S-A05</x:v>
      </x:c>
      <x:c r="B19" s="198" t="str">
        <x:v>AFTER</x:v>
      </x:c>
      <x:c r="C19" s="199" t="str">
        <x:v>Report a fictional missing classmate</x:v>
      </x:c>
      <x:c r="D19" s="199" t="str">
        <x:v>The teacher asks about a fictional avatar. No real child identity is used or stored.</x:v>
      </x:c>
      <x:c r="E19" s="199" t="str">
        <x:v>injury_or_missing_person_known=true; report_pending=true; at_assembly_area=true</x:v>
      </x:c>
      <x:c r="F19" s="199" t="str">
        <x:v>Tell the teacher the fictional last safe location, then remain at assembly.</x:v>
      </x:c>
      <x:c r="G19" s="199" t="str">
        <x:v>ON QUESTION / CONFIRM
Tell an adult who needs help.
Sabihin sa teacher, guardian, o responder ang name at last safe location, then stay sa safe area.</x:v>
      </x:c>
      <x:c r="H19" s="199" t="str">
        <x:v>No self-rescue, search, re-entry, real child name, voice retention, or medical information.</x:v>
      </x:c>
      <x:c r="I19" s="200" t="str">
        <x:v>EQ-AFT-005</x:v>
      </x:c>
      <x:c r="J19" s="200" t="str">
        <x:v>EQ-S-A06</x:v>
      </x:c>
      <x:c r="K19" s="200" t="str">
        <x:v>CONTRACT v1.0.0</x:v>
      </x:c>
    </x:row>
    <x:row r="20" ht="108" customHeight="1">
      <x:c r="A20" s="196" t="str">
        <x:v>EQ-S-A06</x:v>
      </x:c>
      <x:c r="B20" s="194" t="str">
        <x:v>AFTER</x:v>
      </x:c>
      <x:c r="C20" s="195" t="str">
        <x:v>Protect during an assembly-area aftershock</x:v>
      </x:c>
      <x:c r="D20" s="195" t="str">
        <x:v>A short aftershock overrides headcount. The configured open assembly zone remains the trusted safe area.</x:v>
      </x:c>
      <x:c r="E20" s="195" t="str">
        <x:v>aftershock_active=true; shaking_active=true; outdoor; zone=ASSEMBLY_A; headcount_active=false</x:v>
      </x:c>
      <x:c r="F20" s="195" t="str">
        <x:v>Stop, protect the head and neck, and remain in the approved open zone.</x:v>
      </x:c>
      <x:c r="G20" s="195" t="str">
        <x:v>AUTO — P0 OVERRIDE
Aftershock—stop and protect again.
Use the approved protective action for your current zone at hintaying huminto ang shaking.</x:v>
      </x:c>
      <x:c r="H20" s="195" t="str">
        <x:v>Do not run toward buildings, trees, poles, walls, or wires.</x:v>
      </x:c>
      <x:c r="I20" s="196" t="str">
        <x:v>EQ-AFT-006</x:v>
      </x:c>
      <x:c r="J20" s="196" t="str">
        <x:v>EQ-S-A04R</x:v>
      </x:c>
      <x:c r="K20" s="196" t="str">
        <x:v>CONTRACT v1.0.0</x:v>
      </x:c>
    </x:row>
    <x:row r="21" ht="108" customHeight="1">
      <x:c r="A21" s="205" t="str">
        <x:v>EQ-S-A04R</x:v>
      </x:c>
      <x:c r="B21" s="206" t="str">
        <x:v>AFTER</x:v>
      </x:c>
      <x:c r="C21" s="207" t="str">
        <x:v>Resume the interrupted headcount</x:v>
      </x:c>
      <x:c r="D21" s="207" t="str">
        <x:v>Trusted state confirms the aftershock has stopped; the fictional concern remains with staff.</x:v>
      </x:c>
      <x:c r="E21" s="207" t="str">
        <x:v>aftershock_active=false; shaking_active=false; report_pending=false; at_assembly_area=true; headcount_active=true</x:v>
      </x:c>
      <x:c r="F21" s="207" t="str">
        <x:v>Stay with the class and resume answering the teacher.</x:v>
      </x:c>
      <x:c r="G21" s="207" t="str">
        <x:v>AUTO / CONFIRM
Stay with your class for headcount.
Answer your teacher, i-report kung may need ng help, at wait sa assigned assembly area.</x:v>
      </x:c>
      <x:c r="H21" s="207" t="str">
        <x:v>No leaving the group, re-entry, learner search, or learner rescue.</x:v>
      </x:c>
      <x:c r="I21" s="205" t="str">
        <x:v>EQ-AFT-008</x:v>
      </x:c>
      <x:c r="J21" s="205" t="str">
        <x:v>EQ-S-A07</x:v>
      </x:c>
      <x:c r="K21" s="205" t="str">
        <x:v>CONTRACT v1.0.0</x:v>
      </x:c>
    </x:row>
    <x:row r="22" ht="108" customHeight="1">
      <x:c r="A22" s="202" t="str">
        <x:v>EQ-S-A07</x:v>
      </x:c>
      <x:c r="B22" s="201" t="str">
        <x:v>AFTER</x:v>
      </x:c>
      <x:c r="C22" s="201" t="str">
        <x:v>Reject re-entry before clearance</x:v>
      </x:c>
      <x:c r="D22" s="201" t="str">
        <x:v>The learner notices a forgotten bag. The building is not cleared, so Unity blocks the entrance and offers a calm retry.</x:v>
      </x:c>
      <x:c r="E22" s="201" t="str">
        <x:v>learner_action=attempt_reentry; learner_attempting_reentry=true; structure_damaged_or_not_cleared=true</x:v>
      </x:c>
      <x:c r="F22" s="201" t="str">
        <x:v>Stay with the class and abandon the re-entry attempt.</x:v>
      </x:c>
      <x:c r="G22" s="201" t="str">
        <x:v>AUTO — P1 CORRECTION
Do not go back inside.
Stay sa safe area at hintayin ang authority na sabihing safe na ang building.</x:v>
      </x:c>
      <x:c r="H22" s="201" t="str">
        <x:v>No entry for belongings, a person, rescue, or inspection; no injury animation.</x:v>
      </x:c>
      <x:c r="I22" s="202" t="str">
        <x:v>EQ-AFT-004</x:v>
      </x:c>
      <x:c r="J22" s="202" t="str">
        <x:v>EQ-S-END</x:v>
      </x:c>
      <x:c r="K22" s="202" t="str">
        <x:v>CONTRACT v1.0.0</x:v>
      </x:c>
    </x:row>
    <x:row r="23" ht="108" customHeight="1">
      <x:c r="A23" s="208" t="str">
        <x:v>EQ-S-END</x:v>
      </x:c>
      <x:c r="B23" s="209" t="str">
        <x:v>AFTER</x:v>
      </x:c>
      <x:c r="C23" s="209" t="str">
        <x:v>Complete at the assembly area</x:v>
      </x:c>
      <x:c r="D23" s="209" t="str">
        <x:v>The teacher confirms the simulation result while the learner remains with the class.</x:v>
      </x:c>
      <x:c r="E23" s="209" t="str">
        <x:v>mission_complete=true; at_assembly_area=true; headcount_active=false</x:v>
      </x:c>
      <x:c r="F23" s="209" t="str">
        <x:v>Unity ends the mission; this terminal state does not call CALM.</x:v>
      </x:c>
      <x:c r="G23" s="209" t="str">
        <x:v>SILENT / UNITY SUMMARY ONLY</x:v>
      </x:c>
      <x:c r="H23" s="209" t="str">
        <x:v>CALM never verifies a guardian, authorizes release, or stores guardian identity.</x:v>
      </x:c>
      <x:c r="I23" s="208" t="str">
        <x:v>—</x:v>
      </x:c>
      <x:c r="J23" s="208" t="str">
        <x:v>END</x:v>
      </x:c>
      <x:c r="K23" s="208" t="str">
        <x:v>TERMINAL · NO API CALL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21">
    <x:cfRule type="containsText" dxfId="6" priority="1" operator="containsText" text="PROTOTYPE"/>
    <x:cfRule type="containsText" dxfId="7" priority="2" operator="containsText" text="READY"/>
    <x:cfRule type="containsText" dxfId="8" priority="3" operator="containsText" text="SCHOOL CONFIG"/>
    <x:cfRule type="containsText" dxfId="9" priority="4" operator="containsText" text="EXTERNAL"/>
    <x:cfRule type="containsText" dxfId="10" priority="5" operator="containsText" text="BFP/LDRRMO"/>
    <x:cfRule type="containsText" dxfId="11" priority="6" operator="containsText" text="TEAM REVIEW"/>
  </x:conditionalFormatting>
  <x:dataValidations count="1">
    <x:dataValidation type="list" sqref="K7:K21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4f1de84fe4d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4" t="str">
        <x:v>EARTHQUAKE · OUTDOOR / PUBLIC SPACE · LINEAR MISSION STORYBOARD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Recognize an approved open area, protect away from falling hazards, and remain with the responsible adult after shaking.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13" t="str">
        <x:v>STATUS
STORY DRAFT — NOT YET IN UNITY</x:v>
      </x:c>
      <x:c r="B3" s="13"/>
      <x:c r="C3" s="13" t="str">
        <x:v>EXPERIENCE
First-person · single-user · linear</x:v>
      </x:c>
      <x:c r="D3" s="13"/>
      <x:c r="E3" s="13" t="str">
        <x:v>AUTHORITY
Responsible-adult NPC + approved public-space map</x:v>
      </x:c>
      <x:c r="F3" s="13"/>
      <x:c r="G3" s="13" t="str">
        <x:v>LANGUAGE
Taglish draft shown; EN/FIL packs remain linked</x:v>
      </x:c>
      <x:c r="H3" s="13"/>
      <x:c r="I3" s="13" t="str">
        <x:v>LINEAR RULE
Unsafe choice → pause → calm correction → retry</x:v>
      </x:c>
      <x:c r="J3" s="13"/>
      <x:c r="K3" s="13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27" t="str">
        <x:v>State ID</x:v>
      </x:c>
      <x:c r="B6" s="28" t="str">
        <x:v>Phase</x:v>
      </x:c>
      <x:c r="C6" s="28" t="str">
        <x:v>Action / objective</x:v>
      </x:c>
      <x:c r="D6" s="28" t="str">
        <x:v>Narrative / context</x:v>
      </x:c>
      <x:c r="E6" s="28" t="str">
        <x:v>Trusted VR context sent to CALM</x:v>
      </x:c>
      <x:c r="F6" s="28" t="str">
        <x:v>Learner success gate</x:v>
      </x:c>
      <x:c r="G6" s="28" t="str">
        <x:v>CALM intervention + Taglish line</x:v>
      </x:c>
      <x:c r="H6" s="28" t="str">
        <x:v>Unsafe attempt / must never happen</x:v>
      </x:c>
      <x:c r="I6" s="28" t="str">
        <x:v>Protocol ID</x:v>
      </x:c>
      <x:c r="J6" s="28" t="str">
        <x:v>Next state</x:v>
      </x:c>
      <x:c r="K6" s="29" t="str">
        <x:v>Review status</x:v>
      </x:c>
    </x:row>
    <x:row r="7" ht="72" customHeight="1">
      <x:c r="A7" s="38" t="str">
        <x:v>EQ-O-B01</x:v>
      </x:c>
      <x:c r="B7" s="40" t="str">
        <x:v>BEFORE</x:v>
      </x:c>
      <x:c r="C7" s="34" t="str">
        <x:v>Recognize the approved open area</x:v>
      </x:c>
      <x:c r="D7" s="34" t="str">
        <x:v>During a supervised school outing, the adult asks the learner to distinguish an open area from spots beside walls, trees, poles, and power lines.</x:v>
      </x:c>
      <x:c r="E7" s="34" t="str">
        <x:v>setting=outdoor; zone=PUBLIC_SPACE_A; safe_zone_id=OPEN_AREA_A</x:v>
      </x:c>
      <x:c r="F7" s="34" t="str">
        <x:v>Select OPEN_AREA_A and identify the nearby falling-hazard boundaries.</x:v>
      </x:c>
      <x:c r="G7" s="34" t="str">
        <x:v>ON QUESTION / CONFIRM
Find the open safe area.
Piliin ang approved open area na malayo sa buildings, trees, posts, power lines, at glass.</x:v>
      </x:c>
      <x:c r="H7" s="34" t="str">
        <x:v>Do not choose a spot beside a façade, tree, post, power line, or glass.</x:v>
      </x:c>
      <x:c r="I7" s="42" t="str">
        <x:v>EQ-BEF-002</x:v>
      </x:c>
      <x:c r="J7" s="34" t="str">
        <x:v>EQ-O-B02</x:v>
      </x:c>
      <x:c r="K7" s="34" t="str">
        <x:v>NEEDS TEAM REVIEW</x:v>
      </x:c>
    </x:row>
    <x:row r="8" ht="72" customHeight="1">
      <x:c r="A8" s="39" t="str">
        <x:v>EQ-O-B02</x:v>
      </x:c>
      <x:c r="B8" s="41" t="str">
        <x:v>BEFORE</x:v>
      </x:c>
      <x:c r="C8" s="35" t="str">
        <x:v>Stay with the responsible adult</x:v>
      </x:c>
      <x:c r="D8" s="35" t="str">
        <x:v>The adult points out the short approved path into the open area and explains the group signal.</x:v>
      </x:c>
      <x:c r="E8" s="35" t="str">
        <x:v>responsible_adult_present=true; safe_route_id=EQ_OUT_SHORT_A</x:v>
      </x:c>
      <x:c r="F8" s="35" t="str">
        <x:v>Identify the adult and the approved open-area marker.</x:v>
      </x:c>
      <x:c r="G8" s="35" t="str">
        <x:v>SILENT UNLESS ASKED
Find the open safe area.
Piliin ang approved open area na malayo sa buildings, trees, posts, power lines, at glass.</x:v>
      </x:c>
      <x:c r="H8" s="35" t="str">
        <x:v>CALM does not invent a route from retrieved text or learner speech.</x:v>
      </x:c>
      <x:c r="I8" s="43" t="str">
        <x:v>EQ-BEF-002</x:v>
      </x:c>
      <x:c r="J8" s="35" t="str">
        <x:v>EQ-O-D01</x:v>
      </x:c>
      <x:c r="K8" s="35" t="str">
        <x:v>NEEDS TEAM REVIEW</x:v>
      </x:c>
    </x:row>
    <x:row r="9" ht="72" customHeight="1">
      <x:c r="A9" s="39" t="str">
        <x:v>EQ-O-D01</x:v>
      </x:c>
      <x:c r="B9" s="41" t="str">
        <x:v>DURING</x:v>
      </x:c>
      <x:c r="C9" s="35" t="str">
        <x:v>Protect outdoors</x:v>
      </x:c>
      <x:c r="D9" s="35" t="str">
        <x:v>The shaking cue starts while the learner is already outside.</x:v>
      </x:c>
      <x:c r="E9" s="35" t="str">
        <x:v>hazard_active=true; shaking_active=true; location_type=outdoor; safe_route_id=EQ_OUT_SHORT_A</x:v>
      </x:c>
      <x:c r="F9" s="35" t="str">
        <x:v>Stay outside, protect the head/neck, and move only if the short approved route is safe.</x:v>
      </x:c>
      <x:c r="G9" s="35" t="str">
        <x:v>AUTO — P0 SAFETY
Stay outside and away from falling hazards.
Protect your head at move only kung safe ang short route papunta sa approved open area.</x:v>
      </x:c>
      <x:c r="H9" s="35" t="str">
        <x:v>Do not enter a building or move beside walls, trees, poles, wires, or glass.</x:v>
      </x:c>
      <x:c r="I9" s="43" t="str">
        <x:v>EQ-DUR-004</x:v>
      </x:c>
      <x:c r="J9" s="35" t="str">
        <x:v>EQ-O-D03</x:v>
      </x:c>
      <x:c r="K9" s="35" t="str">
        <x:v>NEEDS TEAM REVIEW</x:v>
      </x:c>
    </x:row>
    <x:row r="10" ht="72" customHeight="1">
      <x:c r="A10" s="39" t="str">
        <x:v>EQ-O-D02</x:v>
      </x:c>
      <x:c r="B10" s="41" t="str">
        <x:v>DURING</x:v>
      </x:c>
      <x:c r="C10" s="35" t="str">
        <x:v>Correct movement toward a structure</x:v>
      </x:c>
      <x:c r="D10" s="35" t="str">
        <x:v>A soft boundary detects movement toward a building entrance, tree, or pole.</x:v>
      </x:c>
      <x:c r="E10" s="35" t="str">
        <x:v>shaking_active=true; learner_action=approach_falling_hazard</x:v>
      </x:c>
      <x:c r="F10" s="35" t="str">
        <x:v>Return to the approved open zone and continue protecting the head.</x:v>
      </x:c>
      <x:c r="G10" s="35" t="str">
        <x:v>AUTO — P0 CORRECTION
Stay outside and away from falling hazards.
Protect your head at move only kung safe ang short route papunta sa approved open area.</x:v>
      </x:c>
      <x:c r="H10" s="35" t="str">
        <x:v>No graphic falling object or punishment; retry the same objective.</x:v>
      </x:c>
      <x:c r="I10" s="43" t="str">
        <x:v>EQ-DUR-004</x:v>
      </x:c>
      <x:c r="J10" s="35" t="str">
        <x:v>EQ-O-D03</x:v>
      </x:c>
      <x:c r="K10" s="35" t="str">
        <x:v>NEEDS TEAM REVIEW</x:v>
      </x:c>
    </x:row>
    <x:row r="11" ht="72" customHeight="1">
      <x:c r="A11" s="39" t="str">
        <x:v>EQ-O-D03</x:v>
      </x:c>
      <x:c r="B11" s="41" t="str">
        <x:v>DURING</x:v>
      </x:c>
      <x:c r="C11" s="35" t="str">
        <x:v>Remain in the open area</x:v>
      </x:c>
      <x:c r="D11" s="35" t="str">
        <x:v>The fixed shaking interval continues while the adult and group remain visible.</x:v>
      </x:c>
      <x:c r="E11" s="35" t="str">
        <x:v>shaking_active=true; zone=OPEN_AREA_A</x:v>
      </x:c>
      <x:c r="F11" s="35" t="str">
        <x:v>Stay in place and maintain protection until shaking_active=false.</x:v>
      </x:c>
      <x:c r="G11" s="35" t="str">
        <x:v>DELAYED HINT IF MOVING
Stay outside and away from falling hazards.
Protect your head at move only kung safe ang short route papunta sa approved open area.</x:v>
      </x:c>
      <x:c r="H11" s="35" t="str">
        <x:v>Do not direct the learner to run across unknown terrain.</x:v>
      </x:c>
      <x:c r="I11" s="43" t="str">
        <x:v>EQ-DUR-004</x:v>
      </x:c>
      <x:c r="J11" s="35" t="str">
        <x:v>EQ-O-A01</x:v>
      </x:c>
      <x:c r="K11" s="35" t="str">
        <x:v>NEEDS TEAM REVIEW</x:v>
      </x:c>
    </x:row>
    <x:row r="12" ht="72" customHeight="1">
      <x:c r="A12" s="39" t="str">
        <x:v>EQ-O-A01</x:v>
      </x:c>
      <x:c r="B12" s="41" t="str">
        <x:v>AFTER</x:v>
      </x:c>
      <x:c r="C12" s="35" t="str">
        <x:v>Wait in the approved open area</x:v>
      </x:c>
      <x:c r="D12" s="35" t="str">
        <x:v>Shaking stops. The adult checks the surroundings before any movement.</x:v>
      </x:c>
      <x:c r="E12" s="35" t="str">
        <x:v>shaking_active=false; at_safe_zone=true; safe_zone_id=OPEN_AREA_A</x:v>
      </x:c>
      <x:c r="F12" s="35" t="str">
        <x:v>Remain with the group and keep distance from debris and damaged lines.</x:v>
      </x:c>
      <x:c r="G12" s="35" t="str">
        <x:v>AUTO — P1 INSTRUCTION
Stay in the open safe area.
Keep away from damaged buildings, debris, trees, bridges, at power lines habang naghihintay sa adult.</x:v>
      </x:c>
      <x:c r="H12" s="35" t="str">
        <x:v>No exploring, touching debris, or entering buildings.</x:v>
      </x:c>
      <x:c r="I12" s="43" t="str">
        <x:v>EQ-AFT-003</x:v>
      </x:c>
      <x:c r="J12" s="35" t="str">
        <x:v>EQ-O-A02</x:v>
      </x:c>
      <x:c r="K12" s="35" t="str">
        <x:v>NEEDS TEAM REVIEW</x:v>
      </x:c>
    </x:row>
    <x:row r="13" ht="72" customHeight="1">
      <x:c r="A13" s="39" t="str">
        <x:v>EQ-O-A02</x:v>
      </x:c>
      <x:c r="B13" s="41" t="str">
        <x:v>AFTER</x:v>
      </x:c>
      <x:c r="C13" s="35" t="str">
        <x:v>Report a visible hazard or missing avatar</x:v>
      </x:c>
      <x:c r="D13" s="35" t="str">
        <x:v>A fallen-line prop is visible beyond the safe boundary; the learner reports it from a distance.</x:v>
      </x:c>
      <x:c r="E13" s="35" t="str">
        <x:v>injury_or_missing_person_known=true; zone=OPEN_AREA_A</x:v>
      </x:c>
      <x:c r="F13" s="35" t="str">
        <x:v>Tell the responsible adult what and where the concern is; remain in place.</x:v>
      </x:c>
      <x:c r="G13" s="35" t="str">
        <x:v>ON QUESTION / CONFIRM
Tell an adult who needs help.
Sabihin sa teacher, guardian, o responder ang name at last safe location, then stay sa safe area.</x:v>
      </x:c>
      <x:c r="H13" s="35" t="str">
        <x:v>Do not approach, rescue, diagnose, treat, or provide real identity data.</x:v>
      </x:c>
      <x:c r="I13" s="43" t="str">
        <x:v>EQ-AFT-005</x:v>
      </x:c>
      <x:c r="J13" s="35" t="str">
        <x:v>EQ-O-A03</x:v>
      </x:c>
      <x:c r="K13" s="35" t="str">
        <x:v>NEEDS TEAM REVIEW</x:v>
      </x:c>
    </x:row>
    <x:row r="14" ht="72" customHeight="1">
      <x:c r="A14" s="39" t="str">
        <x:v>EQ-O-A03</x:v>
      </x:c>
      <x:c r="B14" s="41" t="str">
        <x:v>AFTER</x:v>
      </x:c>
      <x:c r="C14" s="35" t="str">
        <x:v>Protect during an aftershock</x:v>
      </x:c>
      <x:c r="D14" s="35" t="str">
        <x:v>A brief scripted aftershock begins before the mission ends.</x:v>
      </x:c>
      <x:c r="E14" s="35" t="str">
        <x:v>aftershock_active=true; location_type=outdoor; zone=OPEN_AREA_A</x:v>
      </x:c>
      <x:c r="F14" s="35" t="str">
        <x:v>Stop, protect the head/neck, stay away from outdoor hazards.</x:v>
      </x:c>
      <x:c r="G14" s="35" t="str">
        <x:v>AUTO — P0 OVERRIDE
Aftershock—stop and protect again.
Use the approved protective action for your current zone at hintaying huminto ang shaking.</x:v>
      </x:c>
      <x:c r="H14" s="35" t="str">
        <x:v>Do not run into a building or toward a hazard.</x:v>
      </x:c>
      <x:c r="I14" s="43" t="str">
        <x:v>EQ-AFT-006</x:v>
      </x:c>
      <x:c r="J14" s="35" t="str">
        <x:v>EQ-O-A04</x:v>
      </x:c>
      <x:c r="K14" s="35" t="str">
        <x:v>NEEDS TEAM REVIEW</x:v>
      </x:c>
    </x:row>
    <x:row r="15" ht="72" customHeight="1">
      <x:c r="A15" s="39" t="str">
        <x:v>EQ-O-A04</x:v>
      </x:c>
      <x:c r="B15" s="41" t="str">
        <x:v>AFTER</x:v>
      </x:c>
      <x:c r="C15" s="35" t="str">
        <x:v>Remain outside until cleared</x:v>
      </x:c>
      <x:c r="D15" s="35" t="str">
        <x:v>The group waits for the authority-controlled completion cue.</x:v>
      </x:c>
      <x:c r="E15" s="35" t="str">
        <x:v>structure_damaged_or_not_cleared=true; official_clearance=false</x:v>
      </x:c>
      <x:c r="F15" s="35" t="str">
        <x:v>Stay in OPEN_AREA_A with the adult.</x:v>
      </x:c>
      <x:c r="G15" s="35" t="str">
        <x:v>ON QUESTION / CONFIRM
Do not go back inside.
Stay sa safe area at hintayin ang authority na sabihing safe na ang building.</x:v>
      </x:c>
      <x:c r="H15" s="35" t="str">
        <x:v>CALM must not claim that a structure is safe or authorize re-entry.</x:v>
      </x:c>
      <x:c r="I15" s="43" t="str">
        <x:v>EQ-AFT-004</x:v>
      </x:c>
      <x:c r="J15" s="35" t="str">
        <x:v>EQ-O-END</x:v>
      </x:c>
      <x:c r="K15" s="35" t="str">
        <x:v>NEEDS TEAM REVIEW</x:v>
      </x:c>
    </x:row>
    <x:row r="16" ht="72" customHeight="1">
      <x:c r="A16" s="39" t="str">
        <x:v>EQ-O-END</x:v>
      </x:c>
      <x:c r="B16" s="41" t="str">
        <x:v>AFTER</x:v>
      </x:c>
      <x:c r="C16" s="35" t="str">
        <x:v>Complete the public-space mission</x:v>
      </x:c>
      <x:c r="D16" s="35" t="str">
        <x:v>The adult summarizes the learner’s safe choices; the environment fades to the mission hub.</x:v>
      </x:c>
      <x:c r="E16" s="35" t="str">
        <x:v>mission_complete=true; at_safe_zone=true</x:v>
      </x:c>
      <x:c r="F16" s="35" t="str">
        <x:v>End at the safe zone with no alternate ending.</x:v>
      </x:c>
      <x:c r="G16" s="35" t="str">
        <x:v>SILENT / OPTIONAL SUMMARY
Stay in the open safe area.
Keep away from damaged buildings, debris, trees, bridges, at power lines habang naghihintay sa adult.</x:v>
      </x:c>
      <x:c r="H16" s="35" t="str">
        <x:v>No precise real-world location or child identity is stored.</x:v>
      </x:c>
      <x:c r="I16" s="43" t="str">
        <x:v>EQ-AFT-003</x:v>
      </x:c>
      <x:c r="J16" s="35" t="str">
        <x:v>END</x:v>
      </x:c>
      <x:c r="K16" s="35" t="str">
        <x:v>NEEDS TEAM REVIEW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6">
    <x:cfRule type="containsText" dxfId="12" priority="1" operator="containsText" text="PROTOTYPE"/>
    <x:cfRule type="containsText" dxfId="13" priority="2" operator="containsText" text="READY"/>
    <x:cfRule type="containsText" dxfId="14" priority="3" operator="containsText" text="SCHOOL CONFIG"/>
    <x:cfRule type="containsText" dxfId="15" priority="4" operator="containsText" text="EXTERNAL"/>
    <x:cfRule type="containsText" dxfId="16" priority="5" operator="containsText" text="BFP/LDRRMO"/>
    <x:cfRule type="containsText" dxfId="17" priority="6" operator="containsText" text="TEAM REVIEW"/>
  </x:conditionalFormatting>
  <x:dataValidations count="1">
    <x:dataValidation type="list" sqref="K7:K16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11a671f8b744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47" t="str">
        <x:v>FIRE · HOME · LINEAR MISSION STORYBOARD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4" customHeight="1">
      <x:c r="A2" s="9" t="str">
        <x:v>Recognize adult-only ignition hazards, leave by the approved safe route, and remain at the family meeting point.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51" t="str">
        <x:v>STATUS
STORY DRAFT — NOT YET IN UNITY</x:v>
      </x:c>
      <x:c r="B3" s="51"/>
      <x:c r="C3" s="51" t="str">
        <x:v>EXPERIENCE
First-person · single-user · linear</x:v>
      </x:c>
      <x:c r="D3" s="51"/>
      <x:c r="E3" s="51" t="str">
        <x:v>AUTHORITY
Guardian NPC + trusted home route state</x:v>
      </x:c>
      <x:c r="F3" s="51"/>
      <x:c r="G3" s="51" t="str">
        <x:v>LANGUAGE
Taglish draft shown; EN/FIL packs remain linked</x:v>
      </x:c>
      <x:c r="H3" s="51"/>
      <x:c r="I3" s="51" t="str">
        <x:v>LINEAR RULE
Unsafe choice → pause → calm correction → retry</x:v>
      </x:c>
      <x:c r="J3" s="51"/>
      <x:c r="K3" s="51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62" t="str">
        <x:v>State ID</x:v>
      </x:c>
      <x:c r="B6" s="63" t="str">
        <x:v>Phase</x:v>
      </x:c>
      <x:c r="C6" s="63" t="str">
        <x:v>Action / objective</x:v>
      </x:c>
      <x:c r="D6" s="63" t="str">
        <x:v>Narrative / context</x:v>
      </x:c>
      <x:c r="E6" s="63" t="str">
        <x:v>Trusted VR context sent to CALM</x:v>
      </x:c>
      <x:c r="F6" s="63" t="str">
        <x:v>Learner success gate</x:v>
      </x:c>
      <x:c r="G6" s="63" t="str">
        <x:v>CALM intervention + Taglish line</x:v>
      </x:c>
      <x:c r="H6" s="63" t="str">
        <x:v>Unsafe attempt / must never happen</x:v>
      </x:c>
      <x:c r="I6" s="63" t="str">
        <x:v>Protocol ID</x:v>
      </x:c>
      <x:c r="J6" s="63" t="str">
        <x:v>Next state</x:v>
      </x:c>
      <x:c r="K6" s="64" t="str">
        <x:v>Review status</x:v>
      </x:c>
    </x:row>
    <x:row r="7" ht="72" customHeight="1">
      <x:c r="A7" s="67" t="str">
        <x:v>FIR-H-B01</x:v>
      </x:c>
      <x:c r="B7" s="69" t="str">
        <x:v>BEFORE</x:v>
      </x:c>
      <x:c r="C7" s="34" t="str">
        <x:v>Identify an adult-only fire hazard</x:v>
      </x:c>
      <x:c r="D7" s="34" t="str">
        <x:v>A guardian-guided home check shows an unattended candle prop and a stove control as non-interactive hazards.</x:v>
      </x:c>
      <x:c r="E7" s="34" t="str">
        <x:v>setting=home; phase=before; match_lighter_candle_stove_or_flame_visible=true</x:v>
      </x:c>
      <x:c r="F7" s="34" t="str">
        <x:v>Step away and use Tell Guardian.</x:v>
      </x:c>
      <x:c r="G7" s="34" t="str">
        <x:v>ON QUESTION / CONFIRM
Do not touch it—tell an adult.
Step away from matches, lighters, candles, stoves, fuel, chemicals, at fire.</x:v>
      </x:c>
      <x:c r="H7" s="34" t="str">
        <x:v>Do not touch, test, play with, or switch the item off; the adult NPC handles it.</x:v>
      </x:c>
      <x:c r="I7" s="42" t="str">
        <x:v>FIR-BEF-001</x:v>
      </x:c>
      <x:c r="J7" s="34" t="str">
        <x:v>FIR-H-B02</x:v>
      </x:c>
      <x:c r="K7" s="34" t="str">
        <x:v>NEEDS TEAM REVIEW</x:v>
      </x:c>
    </x:row>
    <x:row r="8" ht="72" customHeight="1">
      <x:c r="A8" s="68" t="str">
        <x:v>FIR-H-B02</x:v>
      </x:c>
      <x:c r="B8" s="70" t="str">
        <x:v>BEFORE</x:v>
      </x:c>
      <x:c r="C8" s="35" t="str">
        <x:v>Learn two approved exits and meeting point</x:v>
      </x:c>
      <x:c r="D8" s="35" t="str">
        <x:v>The guardian shows HOME_FIRE_ROUTE_A, a configured alternate, and FAMILY_FIRE_POINT_A.</x:v>
      </x:c>
      <x:c r="E8" s="35" t="str">
        <x:v>location_type=indoors; safe_route_id=HOME_FIRE_ROUTE_A; safe_zone_id=FAMILY_FIRE_POINT_A</x:v>
      </x:c>
      <x:c r="F8" s="35" t="str">
        <x:v>Identify both approved ways out and keep the visible exit clear.</x:v>
      </x:c>
      <x:c r="G8" s="35" t="str">
        <x:v>ON QUESTION / CONFIRM
Know your exit and meeting point.
Practise the approved route with an adult at keep the way out clear.</x:v>
      </x:c>
      <x:c r="H8" s="35" t="str">
        <x:v>No route through a locked, damaged, or unapproved space.</x:v>
      </x:c>
      <x:c r="I8" s="43" t="str">
        <x:v>FIR-BEF-002</x:v>
      </x:c>
      <x:c r="J8" s="35" t="str">
        <x:v>FIR-H-D01</x:v>
      </x:c>
      <x:c r="K8" s="35" t="str">
        <x:v>NEEDS TEAM REVIEW</x:v>
      </x:c>
    </x:row>
    <x:row r="9" ht="72" customHeight="1">
      <x:c r="A9" s="68" t="str">
        <x:v>FIR-H-D01</x:v>
      </x:c>
      <x:c r="B9" s="70" t="str">
        <x:v>DURING</x:v>
      </x:c>
      <x:c r="C9" s="35" t="str">
        <x:v>Alert and evacuate</x:v>
      </x:c>
      <x:c r="D9" s="35" t="str">
        <x:v>A simulation-only smoke/alarm cue confirms fire. The guardian directs immediate evacuation.</x:v>
      </x:c>
      <x:c r="E9" s="35" t="str">
        <x:v>hazard_active=true; fire_or_smoke_confirmed=true; safe_exit_available=true</x:v>
      </x:c>
      <x:c r="F9" s="35" t="str">
        <x:v>Alert the guardian, use the approved safe exit, and move directly to the meeting point.</x:v>
      </x:c>
      <x:c r="G9" s="35" t="str">
        <x:v>AUTO — P0 SAFETY
Alert an adult and evacuate now.
Use the approved safe exit at dumiretso sa meeting point. Leave your belongings.</x:v>
      </x:c>
      <x:c r="H9" s="35" t="str">
        <x:v>Do not fight the fire, collect a phone/bag, search for pets, or delay to call while inside.</x:v>
      </x:c>
      <x:c r="I9" s="43" t="str">
        <x:v>FIR-DUR-001</x:v>
      </x:c>
      <x:c r="J9" s="35" t="str">
        <x:v>FIR-H-D02</x:v>
      </x:c>
      <x:c r="K9" s="35" t="str">
        <x:v>NEEDS TEAM REVIEW</x:v>
      </x:c>
    </x:row>
    <x:row r="10" ht="72" customHeight="1">
      <x:c r="A10" s="68" t="str">
        <x:v>FIR-H-D02</x:v>
      </x:c>
      <x:c r="B10" s="70" t="str">
        <x:v>DURING</x:v>
      </x:c>
      <x:c r="C10" s="35" t="str">
        <x:v>Stay low under smoke</x:v>
      </x:c>
      <x:c r="D10" s="35" t="str">
        <x:v>Light stylized smoke appears along the approved path without obscuring comfort boundaries.</x:v>
      </x:c>
      <x:c r="E10" s="35" t="str">
        <x:v>smoke_present=true; safe_exit_available=true; safe_route_id=HOME_FIRE_ROUTE_A</x:v>
      </x:c>
      <x:c r="F10" s="35" t="str">
        <x:v>Get low and crawl along the approved safe route to the exit.</x:v>
      </x:c>
      <x:c r="G10" s="35" t="str">
        <x:v>AUTO — P0 SAFETY
Get low and crawl to the safe exit.
Follow the approved route without stopping para humanap ng cloth, then go to the meeting point.</x:v>
      </x:c>
      <x:c r="H10" s="35" t="str">
        <x:v>Do not stand in smoke or delay to find/wet a cloth.</x:v>
      </x:c>
      <x:c r="I10" s="43" t="str">
        <x:v>FIR-DUR-004</x:v>
      </x:c>
      <x:c r="J10" s="35" t="str">
        <x:v>FIR-H-D03</x:v>
      </x:c>
      <x:c r="K10" s="35" t="str">
        <x:v>NEEDS TEAM REVIEW</x:v>
      </x:c>
    </x:row>
    <x:row r="11" ht="72" customHeight="1">
      <x:c r="A11" s="68" t="str">
        <x:v>FIR-H-D03</x:v>
      </x:c>
      <x:c r="B11" s="70" t="str">
        <x:v>DURING</x:v>
      </x:c>
      <x:c r="C11" s="35" t="str">
        <x:v>Avoid a hot or smoky door</x:v>
      </x:c>
      <x:c r="D11" s="35" t="str">
        <x:v>The primary door is scripted as hot/smoke-leaking; the guardian leads the configured alternate route.</x:v>
      </x:c>
      <x:c r="E11" s="35" t="str">
        <x:v>door_hot_or_smoke_leaking=true; route_states={A:BLOCKED,B:OPEN}; safe_route_id=HOME_FIRE_ROUTE_B</x:v>
      </x:c>
      <x:c r="F11" s="35" t="str">
        <x:v>Do not open the marked door; follow Route B.</x:v>
      </x:c>
      <x:c r="G11" s="35" t="str">
        <x:v>AUTO — P0 ROUTE CORRECTION
Do not open that door.
Use the approved alternate exit kung safe. Kung walang safe exit, signal for help.</x:v>
      </x:c>
      <x:c r="H11" s="35" t="str">
        <x:v>No touching the hot door, entering smoke/flame, or invented alternate route.</x:v>
      </x:c>
      <x:c r="I11" s="43" t="str">
        <x:v>FIR-DUR-003</x:v>
      </x:c>
      <x:c r="J11" s="35" t="str">
        <x:v>FIR-H-A01</x:v>
      </x:c>
      <x:c r="K11" s="35" t="str">
        <x:v>NEEDS TEAM REVIEW</x:v>
      </x:c>
    </x:row>
    <x:row r="12" ht="72" customHeight="1">
      <x:c r="A12" s="68" t="str">
        <x:v>FIR-H-D04</x:v>
      </x:c>
      <x:c r="B12" s="70" t="str">
        <x:v>DURING</x:v>
      </x:c>
      <x:c r="C12" s="35" t="str">
        <x:v>Correct a firefighting attempt</x:v>
      </x:c>
      <x:c r="D12" s="35" t="str">
        <x:v>If the learner reaches for an extinguisher, water, cloth, lid, or appliance, the object remains disabled.</x:v>
      </x:c>
      <x:c r="E12" s="35" t="str">
        <x:v>learner_action=attempt_fight_fire; fire_or_smoke_confirmed=true</x:v>
      </x:c>
      <x:c r="F12" s="35" t="str">
        <x:v>Move away and resume evacuation.</x:v>
      </x:c>
      <x:c r="G12" s="35" t="str">
        <x:v>AUTO — P0 CORRECTION
Do not fight the fire—move away.
Alert an adult and use the approved safe exit or safe zone. Firefighters ang hahawak sa fire.</x:v>
      </x:c>
      <x:c r="H12" s="35" t="str">
        <x:v>A Grade 4 learner never operates LPG, electricity, appliances, or firefighting equipment.</x:v>
      </x:c>
      <x:c r="I12" s="43" t="str">
        <x:v>FIR-DUR-007</x:v>
      </x:c>
      <x:c r="J12" s="35" t="str">
        <x:v>FIR-H-A01</x:v>
      </x:c>
      <x:c r="K12" s="35" t="str">
        <x:v>NEEDS TEAM REVIEW</x:v>
      </x:c>
    </x:row>
    <x:row r="13" ht="72" customHeight="1">
      <x:c r="A13" s="68" t="str">
        <x:v>FIR-H-A01</x:v>
      </x:c>
      <x:c r="B13" s="70" t="str">
        <x:v>AFTER</x:v>
      </x:c>
      <x:c r="C13" s="35" t="str">
        <x:v>Stay outside</x:v>
      </x:c>
      <x:c r="D13" s="35" t="str">
        <x:v>The learner reaches FAMILY_FIRE_POINT_A with the guardian.</x:v>
      </x:c>
      <x:c r="E13" s="35" t="str">
        <x:v>location_type=outdoor; at_safe_zone=true; reentry_not_cleared=true</x:v>
      </x:c>
      <x:c r="F13" s="35" t="str">
        <x:v>Stay outside and tell the guardian if someone or something remains inside.</x:v>
      </x:c>
      <x:c r="G13" s="35" t="str">
        <x:v>AUTO — P0 INSTRUCTION
Once out, stay out.
Stay at the safe point, tell an adult kung sino o ano ang nasa loob, at wait for firefighter clearance.</x:v>
      </x:c>
      <x:c r="H13" s="35" t="str">
        <x:v>No re-entry for a person, pet, phone, bag, or inspection.</x:v>
      </x:c>
      <x:c r="I13" s="43" t="str">
        <x:v>FIR-AFT-001</x:v>
      </x:c>
      <x:c r="J13" s="35" t="str">
        <x:v>FIR-H-A02</x:v>
      </x:c>
      <x:c r="K13" s="35" t="str">
        <x:v>NEEDS TEAM REVIEW</x:v>
      </x:c>
    </x:row>
    <x:row r="14" ht="72" customHeight="1">
      <x:c r="A14" s="68" t="str">
        <x:v>FIR-H-A02</x:v>
      </x:c>
      <x:c r="B14" s="70" t="str">
        <x:v>AFTER</x:v>
      </x:c>
      <x:c r="C14" s="35" t="str">
        <x:v>Answer family headcount</x:v>
      </x:c>
      <x:c r="D14" s="35" t="str">
        <x:v>The guardian performs a fictional household-avatar count.</x:v>
      </x:c>
      <x:c r="E14" s="35" t="str">
        <x:v>at_safe_zone=true; headcount_active=true</x:v>
      </x:c>
      <x:c r="F14" s="35" t="str">
        <x:v>Stay at the meeting point and report a missing avatar to the adult.</x:v>
      </x:c>
      <x:c r="G14" s="35" t="str">
        <x:v>ON QUESTION / CONFIRM
Stay at the meeting point.
Stay with your family or class for headcount at tell the adult in charge kung may missing.</x:v>
      </x:c>
      <x:c r="H14" s="35" t="str">
        <x:v>The learner does not search or leave the meeting point.</x:v>
      </x:c>
      <x:c r="I14" s="43" t="str">
        <x:v>FIR-AFT-002</x:v>
      </x:c>
      <x:c r="J14" s="35" t="str">
        <x:v>FIR-H-A03</x:v>
      </x:c>
      <x:c r="K14" s="35" t="str">
        <x:v>NEEDS TEAM REVIEW</x:v>
      </x:c>
    </x:row>
    <x:row r="15" ht="72" customHeight="1">
      <x:c r="A15" s="68" t="str">
        <x:v>FIR-H-A03</x:v>
      </x:c>
      <x:c r="B15" s="70" t="str">
        <x:v>AFTER</x:v>
      </x:c>
      <x:c r="C15" s="35" t="str">
        <x:v>Report a simulated injury</x:v>
      </x:c>
      <x:c r="D15" s="35" t="str">
        <x:v>A non-graphic avatar says their arm hurts. The learner reports it rather than treating it.</x:v>
      </x:c>
      <x:c r="E15" s="35" t="str">
        <x:v>injury_known=true; at_safe_zone=true</x:v>
      </x:c>
      <x:c r="F15" s="35" t="str">
        <x:v>Tell the guardian/responder what happened and remain in the safe area.</x:v>
      </x:c>
      <x:c r="G15" s="35" t="str">
        <x:v>ON QUESTION / CONFIRM
Tell a trained adult about the injury.
Say what happened and stay sa safe area. Huwag maglagay ng medicine, cream, or ice by yourself.</x:v>
      </x:c>
      <x:c r="H15" s="35" t="str">
        <x:v>No diagnosis, cream, medicine, ice, or treatment unless a trained adult directs it.</x:v>
      </x:c>
      <x:c r="I15" s="43" t="str">
        <x:v>FIR-AFT-004</x:v>
      </x:c>
      <x:c r="J15" s="35" t="str">
        <x:v>FIR-H-END</x:v>
      </x:c>
      <x:c r="K15" s="35" t="str">
        <x:v>NEEDS TEAM REVIEW</x:v>
      </x:c>
    </x:row>
    <x:row r="16" ht="72" customHeight="1">
      <x:c r="A16" s="68" t="str">
        <x:v>FIR-H-END</x:v>
      </x:c>
      <x:c r="B16" s="70" t="str">
        <x:v>AFTER</x:v>
      </x:c>
      <x:c r="C16" s="35" t="str">
        <x:v>Wait for firefighter clearance</x:v>
      </x:c>
      <x:c r="D16" s="35" t="str">
        <x:v>The mission ends outside; no all-clear or return is simulated by CALM.</x:v>
      </x:c>
      <x:c r="E16" s="35" t="str">
        <x:v>official_clearance=false; mission_complete=true</x:v>
      </x:c>
      <x:c r="F16" s="35" t="str">
        <x:v>Remain at FAMILY_FIRE_POINT_A.</x:v>
      </x:c>
      <x:c r="G16" s="35" t="str">
        <x:v>SILENT / OPTIONAL SUMMARY
Once out, stay out.
Stay at the safe point, tell an adult kung sino o ano ang nasa loob, at wait for firefighter clearance.</x:v>
      </x:c>
      <x:c r="H16" s="35" t="str">
        <x:v>CALM never claims the fire is out or the house is safe.</x:v>
      </x:c>
      <x:c r="I16" s="43" t="str">
        <x:v>FIR-AFT-001</x:v>
      </x:c>
      <x:c r="J16" s="35" t="str">
        <x:v>END</x:v>
      </x:c>
      <x:c r="K16" s="35" t="str">
        <x:v>NEEDS TEAM REVIEW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6">
    <x:cfRule type="containsText" dxfId="18" priority="1" operator="containsText" text="PROTOTYPE"/>
    <x:cfRule type="containsText" dxfId="19" priority="2" operator="containsText" text="READY"/>
    <x:cfRule type="containsText" dxfId="20" priority="3" operator="containsText" text="SCHOOL CONFIG"/>
    <x:cfRule type="containsText" dxfId="21" priority="4" operator="containsText" text="EXTERNAL"/>
    <x:cfRule type="containsText" dxfId="22" priority="5" operator="containsText" text="BFP/LDRRMO"/>
    <x:cfRule type="containsText" dxfId="23" priority="6" operator="containsText" text="TEAM REVIEW"/>
  </x:conditionalFormatting>
  <x:dataValidations count="1">
    <x:dataValidation type="list" sqref="K7:K16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b1ea73b68b49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47" t="str">
        <x:v>FIRE · SCHOOL · LINEAR MISSION STORYBOARD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4" customHeight="1">
      <x:c r="A2" s="9" t="str">
        <x:v>Report hazards, respond to the configured fire cue, evacuate with the teacher, and remain for assembly/headcount.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51" t="str">
        <x:v>STATUS
STORY DRAFT — SCHOOL PROFILE REQUIRED</x:v>
      </x:c>
      <x:c r="B3" s="51"/>
      <x:c r="C3" s="51" t="str">
        <x:v>EXPERIENCE
First-person · single-user · linear</x:v>
      </x:c>
      <x:c r="D3" s="51"/>
      <x:c r="E3" s="51" t="str">
        <x:v>AUTHORITY
Teacher NPC + versioned school fire profile</x:v>
      </x:c>
      <x:c r="F3" s="51"/>
      <x:c r="G3" s="51" t="str">
        <x:v>LANGUAGE
Taglish draft shown; EN/FIL packs remain linked</x:v>
      </x:c>
      <x:c r="H3" s="51"/>
      <x:c r="I3" s="51" t="str">
        <x:v>LINEAR RULE
Unsafe choice → pause → calm correction → retry</x:v>
      </x:c>
      <x:c r="J3" s="51"/>
      <x:c r="K3" s="51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62" t="str">
        <x:v>State ID</x:v>
      </x:c>
      <x:c r="B6" s="63" t="str">
        <x:v>Phase</x:v>
      </x:c>
      <x:c r="C6" s="63" t="str">
        <x:v>Action / objective</x:v>
      </x:c>
      <x:c r="D6" s="63" t="str">
        <x:v>Narrative / context</x:v>
      </x:c>
      <x:c r="E6" s="63" t="str">
        <x:v>Trusted VR context sent to CALM</x:v>
      </x:c>
      <x:c r="F6" s="63" t="str">
        <x:v>Learner success gate</x:v>
      </x:c>
      <x:c r="G6" s="63" t="str">
        <x:v>CALM intervention + Taglish line</x:v>
      </x:c>
      <x:c r="H6" s="63" t="str">
        <x:v>Unsafe attempt / must never happen</x:v>
      </x:c>
      <x:c r="I6" s="63" t="str">
        <x:v>Protocol ID</x:v>
      </x:c>
      <x:c r="J6" s="63" t="str">
        <x:v>Next state</x:v>
      </x:c>
      <x:c r="K6" s="64" t="str">
        <x:v>Review status</x:v>
      </x:c>
    </x:row>
    <x:row r="7" ht="72" customHeight="1">
      <x:c r="A7" s="67" t="str">
        <x:v>FIR-S-B01</x:v>
      </x:c>
      <x:c r="B7" s="69" t="str">
        <x:v>BEFORE</x:v>
      </x:c>
      <x:c r="C7" s="34" t="str">
        <x:v>Report a blocked exit or heat hazard</x:v>
      </x:c>
      <x:c r="D7" s="34" t="str">
        <x:v>The learner spots paper near a heat source and an object blocking part of an exit during a classroom inspection.</x:v>
      </x:c>
      <x:c r="E7" s="34" t="str">
        <x:v>setting=school; phase=before; responsible_adult_present=true</x:v>
      </x:c>
      <x:c r="F7" s="34" t="str">
        <x:v>Step away and tell the teacher; the teacher resolves the hazard.</x:v>
      </x:c>
      <x:c r="G7" s="34" t="str">
        <x:v>ON QUESTION / CONFIRM
Do not touch it—tell an adult.
Step away from matches, lighters, candles, stoves, fuel, chemicals, at fire.</x:v>
      </x:c>
      <x:c r="H7" s="34" t="str">
        <x:v>The learner does not move hot, electrical, heavy, or burning objects.</x:v>
      </x:c>
      <x:c r="I7" s="42" t="str">
        <x:v>FIR-BEF-001</x:v>
      </x:c>
      <x:c r="J7" s="34" t="str">
        <x:v>FIR-S-B02</x:v>
      </x:c>
      <x:c r="K7" s="34" t="str">
        <x:v>NEEDS TEAM REVIEW</x:v>
      </x:c>
    </x:row>
    <x:row r="8" ht="72" customHeight="1">
      <x:c r="A8" s="68" t="str">
        <x:v>FIR-S-B02</x:v>
      </x:c>
      <x:c r="B8" s="70" t="str">
        <x:v>BEFORE</x:v>
      </x:c>
      <x:c r="C8" s="35" t="str">
        <x:v>Learn the fire cue, exits, and assembly area</x:v>
      </x:c>
      <x:c r="D8" s="35" t="str">
        <x:v>The teacher introduces the configured cue, primary/alternate routes, stairs, and assembly marker.</x:v>
      </x:c>
      <x:c r="E8" s="35" t="str">
        <x:v>alarm_id=SIM_FIR_EVACUATE_CUE; safe_route_id=FIR_ROUTE_A; safe_zone_id=ASSEMBLY_FIRE_A</x:v>
      </x:c>
      <x:c r="F8" s="35" t="str">
        <x:v>Identify the approved exit, alternate route, stair, and assembly area.</x:v>
      </x:c>
      <x:c r="G8" s="35" t="str">
        <x:v>ON QUESTION / CONFIRM
Know your exit and meeting point.
Practise the approved route with an adult at keep the way out clear.</x:v>
      </x:c>
      <x:c r="H8" s="35" t="str">
        <x:v>CALM never invents the school alarm pattern, route, stair, or assembly zone.</x:v>
      </x:c>
      <x:c r="I8" s="43" t="str">
        <x:v>FIR-BEF-002</x:v>
      </x:c>
      <x:c r="J8" s="35" t="str">
        <x:v>FIR-S-D01</x:v>
      </x:c>
      <x:c r="K8" s="35" t="str">
        <x:v>NEEDS SCHOOL CONFIG</x:v>
      </x:c>
    </x:row>
    <x:row r="9" ht="72" customHeight="1">
      <x:c r="A9" s="68" t="str">
        <x:v>FIR-S-D01</x:v>
      </x:c>
      <x:c r="B9" s="70" t="str">
        <x:v>DURING</x:v>
      </x:c>
      <x:c r="C9" s="35" t="str">
        <x:v>Respond to the teacher and evacuate</x:v>
      </x:c>
      <x:c r="D9" s="35" t="str">
        <x:v>The configured cue and teacher instruction begin the fixed evacuation sequence.</x:v>
      </x:c>
      <x:c r="E9" s="35" t="str">
        <x:v>fire_or_smoke_confirmed=true; alarm_id=SIM_FIR_EVACUATE_CUE; safe_exit_available=true</x:v>
      </x:c>
      <x:c r="F9" s="35" t="str">
        <x:v>Join the class, walk quickly and calmly, and use the approved route.</x:v>
      </x:c>
      <x:c r="G9" s="35" t="str">
        <x:v>AUTO — P0 SAFETY
Alert an adult and evacuate now.
Use the approved safe exit at dumiretso sa meeting point. Leave your belongings.</x:v>
      </x:c>
      <x:c r="H9" s="35" t="str">
        <x:v>No belongings, phone use, firefighting, hiding, or delay.</x:v>
      </x:c>
      <x:c r="I9" s="43" t="str">
        <x:v>FIR-DUR-001</x:v>
      </x:c>
      <x:c r="J9" s="35" t="str">
        <x:v>FIR-S-D02</x:v>
      </x:c>
      <x:c r="K9" s="35" t="str">
        <x:v>NEEDS SCHOOL CONFIG</x:v>
      </x:c>
    </x:row>
    <x:row r="10" ht="72" customHeight="1">
      <x:c r="A10" s="68" t="str">
        <x:v>FIR-S-D02</x:v>
      </x:c>
      <x:c r="B10" s="70" t="str">
        <x:v>DURING</x:v>
      </x:c>
      <x:c r="C10" s="35" t="str">
        <x:v>Stay low if smoke is present</x:v>
      </x:c>
      <x:c r="D10" s="35" t="str">
        <x:v>Stylized smoke appears in a fixed corridor segment. The learner follows the teacher at a low height.</x:v>
      </x:c>
      <x:c r="E10" s="35" t="str">
        <x:v>smoke_present=true; safe_route_id=FIR_ROUTE_A</x:v>
      </x:c>
      <x:c r="F10" s="35" t="str">
        <x:v>Get low and continue along the approved route.</x:v>
      </x:c>
      <x:c r="G10" s="35" t="str">
        <x:v>AUTO — P0 SAFETY
Get low and crawl to the safe exit.
Follow the approved route without stopping para humanap ng cloth, then go to the meeting point.</x:v>
      </x:c>
      <x:c r="H10" s="35" t="str">
        <x:v>Do not delay to look for or wet a cloth; covering the mouth is not a prerequisite to leave.</x:v>
      </x:c>
      <x:c r="I10" s="43" t="str">
        <x:v>FIR-DUR-004</x:v>
      </x:c>
      <x:c r="J10" s="35" t="str">
        <x:v>FIR-S-D03</x:v>
      </x:c>
      <x:c r="K10" s="35" t="str">
        <x:v>NEEDS TEAM REVIEW</x:v>
      </x:c>
    </x:row>
    <x:row r="11" ht="72" customHeight="1">
      <x:c r="A11" s="68" t="str">
        <x:v>FIR-S-D03</x:v>
      </x:c>
      <x:c r="B11" s="70" t="str">
        <x:v>DURING</x:v>
      </x:c>
      <x:c r="C11" s="35" t="str">
        <x:v>Use stairs, not an elevator</x:v>
      </x:c>
      <x:c r="D11" s="35" t="str">
        <x:v>At a corridor junction, the elevator is visibly disabled and the approved stair is highlighted by the teacher.</x:v>
      </x:c>
      <x:c r="E11" s="35" t="str">
        <x:v>location_zone=HALL_JUNCTION; route_states={STAIR_A:OPEN,ELEVATOR:CLOSED}</x:v>
      </x:c>
      <x:c r="F11" s="35" t="str">
        <x:v>Follow the teacher down STAIR_A.</x:v>
      </x:c>
      <x:c r="G11" s="35" t="str">
        <x:v>AUTO — P0 CORRECTION IF NEEDED
Use the safe stairs, not the elevator.
Follow the approved exit route to the meeting point at huwag pumasok sa route na blocked ng smoke o fire.</x:v>
      </x:c>
      <x:c r="H11" s="35" t="str">
        <x:v>Never use an elevator or a stair blocked by smoke/fire.</x:v>
      </x:c>
      <x:c r="I11" s="43" t="str">
        <x:v>FIR-DUR-002</x:v>
      </x:c>
      <x:c r="J11" s="35" t="str">
        <x:v>FIR-S-D04</x:v>
      </x:c>
      <x:c r="K11" s="35" t="str">
        <x:v>NEEDS SCHOOL CONFIG</x:v>
      </x:c>
    </x:row>
    <x:row r="12" ht="72" customHeight="1">
      <x:c r="A12" s="68" t="str">
        <x:v>FIR-S-D04</x:v>
      </x:c>
      <x:c r="B12" s="70" t="str">
        <x:v>DURING</x:v>
      </x:c>
      <x:c r="C12" s="35" t="str">
        <x:v>Use the fixed alternate route</x:v>
      </x:c>
      <x:c r="D12" s="35" t="str">
        <x:v>The primary exit is scripted as smoke-blocked; the teacher leads FIR_ROUTE_B, which the school profile marks OPEN.</x:v>
      </x:c>
      <x:c r="E12" s="35" t="str">
        <x:v>door_hot_or_smoke_leaking=true; route_states={FIR_ROUTE_A:BLOCKED,FIR_ROUTE_B:OPEN}; safe_route_id=FIR_ROUTE_B</x:v>
      </x:c>
      <x:c r="F12" s="35" t="str">
        <x:v>Do not open the marked door; follow the teacher through Route B.</x:v>
      </x:c>
      <x:c r="G12" s="35" t="str">
        <x:v>AUTO — P0 ROUTE GUARD
Do not open that door.
Use the approved alternate exit kung safe. Kung walang safe exit, signal for help.</x:v>
      </x:c>
      <x:c r="H12" s="35" t="str">
        <x:v>If no safe route exists, fail closed and use the trapped-person protocol; never invent a route.</x:v>
      </x:c>
      <x:c r="I12" s="43" t="str">
        <x:v>FIR-DUR-003</x:v>
      </x:c>
      <x:c r="J12" s="35" t="str">
        <x:v>FIR-S-A01</x:v>
      </x:c>
      <x:c r="K12" s="35" t="str">
        <x:v>NEEDS SCHOOL CONFIG</x:v>
      </x:c>
    </x:row>
    <x:row r="13" ht="72" customHeight="1">
      <x:c r="A13" s="68" t="str">
        <x:v>FIR-S-D05</x:v>
      </x:c>
      <x:c r="B13" s="70" t="str">
        <x:v>DURING</x:v>
      </x:c>
      <x:c r="C13" s="35" t="str">
        <x:v>Correct a firefighting attempt</x:v>
      </x:c>
      <x:c r="D13" s="35" t="str">
        <x:v>An extinguisher may be visible as adult equipment but is not interactable by the learner.</x:v>
      </x:c>
      <x:c r="E13" s="35" t="str">
        <x:v>learner_action=attempt_fight_fire</x:v>
      </x:c>
      <x:c r="F13" s="35" t="str">
        <x:v>Move away and continue with the class.</x:v>
      </x:c>
      <x:c r="G13" s="35" t="str">
        <x:v>AUTO — P0 CORRECTION
Do not fight the fire—move away.
Alert an adult and use the approved safe exit or safe zone. Firefighters ang hahawak sa fire.</x:v>
      </x:c>
      <x:c r="H13" s="35" t="str">
        <x:v>No extinguisher, water, cloth, lid, sand, hose, utility, LPG, or appliance operation.</x:v>
      </x:c>
      <x:c r="I13" s="43" t="str">
        <x:v>FIR-DUR-007</x:v>
      </x:c>
      <x:c r="J13" s="35" t="str">
        <x:v>FIR-S-A01</x:v>
      </x:c>
      <x:c r="K13" s="35" t="str">
        <x:v>NEEDS TEAM REVIEW</x:v>
      </x:c>
    </x:row>
    <x:row r="14" ht="72" customHeight="1">
      <x:c r="A14" s="68" t="str">
        <x:v>FIR-S-A01</x:v>
      </x:c>
      <x:c r="B14" s="70" t="str">
        <x:v>AFTER</x:v>
      </x:c>
      <x:c r="C14" s="35" t="str">
        <x:v>Stay at the assembly area</x:v>
      </x:c>
      <x:c r="D14" s="35" t="str">
        <x:v>The class reaches ASSEMBLY_FIRE_A; the building remains uncleared.</x:v>
      </x:c>
      <x:c r="E14" s="35" t="str">
        <x:v>at_safe_zone=true; reentry_not_cleared=true; safe_zone_id=ASSEMBLY_FIRE_A</x:v>
      </x:c>
      <x:c r="F14" s="35" t="str">
        <x:v>Stay outside with the class and wait for instructions.</x:v>
      </x:c>
      <x:c r="G14" s="35" t="str">
        <x:v>AUTO — P0 INSTRUCTION
Once out, stay out.
Stay at the safe point, tell an adult kung sino o ano ang nasa loob, at wait for firefighter clearance.</x:v>
      </x:c>
      <x:c r="H14" s="35" t="str">
        <x:v>No re-entry for anyone or anything; CALM cannot issue an all-clear.</x:v>
      </x:c>
      <x:c r="I14" s="43" t="str">
        <x:v>FIR-AFT-001</x:v>
      </x:c>
      <x:c r="J14" s="35" t="str">
        <x:v>FIR-S-A02</x:v>
      </x:c>
      <x:c r="K14" s="35" t="str">
        <x:v>NEEDS SCHOOL CONFIG</x:v>
      </x:c>
    </x:row>
    <x:row r="15" ht="72" customHeight="1">
      <x:c r="A15" s="68" t="str">
        <x:v>FIR-S-A02</x:v>
      </x:c>
      <x:c r="B15" s="70" t="str">
        <x:v>AFTER</x:v>
      </x:c>
      <x:c r="C15" s="35" t="str">
        <x:v>Answer headcount and report a missing avatar</x:v>
      </x:c>
      <x:c r="D15" s="35" t="str">
        <x:v>The teacher performs a fictional class headcount.</x:v>
      </x:c>
      <x:c r="E15" s="35" t="str">
        <x:v>headcount_active=true; at_safe_zone=true</x:v>
      </x:c>
      <x:c r="F15" s="35" t="str">
        <x:v>Answer the teacher and report the fictional last safe location if asked.</x:v>
      </x:c>
      <x:c r="G15" s="35" t="str">
        <x:v>ON QUESTION / CONFIRM
Stay at the meeting point.
Stay with your family or class for headcount at tell the adult in charge kung may missing.</x:v>
      </x:c>
      <x:c r="H15" s="35" t="str">
        <x:v>No leaving the group, searching, or storing real learner identity.</x:v>
      </x:c>
      <x:c r="I15" s="43" t="str">
        <x:v>FIR-AFT-002</x:v>
      </x:c>
      <x:c r="J15" s="35" t="str">
        <x:v>FIR-S-A03</x:v>
      </x:c>
      <x:c r="K15" s="35" t="str">
        <x:v>NEEDS TEAM REVIEW</x:v>
      </x:c>
    </x:row>
    <x:row r="16" ht="72" customHeight="1">
      <x:c r="A16" s="68" t="str">
        <x:v>FIR-S-A03</x:v>
      </x:c>
      <x:c r="B16" s="70" t="str">
        <x:v>AFTER</x:v>
      </x:c>
      <x:c r="C16" s="35" t="str">
        <x:v>Report a burn or injury</x:v>
      </x:c>
      <x:c r="D16" s="35" t="str">
        <x:v>A non-graphic scenario prompt asks the learner what to do if someone is hurt.</x:v>
      </x:c>
      <x:c r="E16" s="35" t="str">
        <x:v>injury_known=true; at_safe_zone=true</x:v>
      </x:c>
      <x:c r="F16" s="35" t="str">
        <x:v>Tell the teacher/responder and remain in the safe area.</x:v>
      </x:c>
      <x:c r="G16" s="35" t="str">
        <x:v>ON QUESTION / CONFIRM
Tell a trained adult about the injury.
Say what happened and stay sa safe area. Huwag maglagay ng medicine, cream, or ice by yourself.</x:v>
      </x:c>
      <x:c r="H16" s="35" t="str">
        <x:v>No diagnosis or treatment from CALM.</x:v>
      </x:c>
      <x:c r="I16" s="43" t="str">
        <x:v>FIR-AFT-004</x:v>
      </x:c>
      <x:c r="J16" s="35" t="str">
        <x:v>FIR-S-END</x:v>
      </x:c>
      <x:c r="K16" s="35" t="str">
        <x:v>NEEDS TEAM REVIEW</x:v>
      </x:c>
    </x:row>
    <x:row r="17" ht="72" customHeight="1">
      <x:c r="A17" s="68" t="str">
        <x:v>FIR-S-END</x:v>
      </x:c>
      <x:c r="B17" s="70" t="str">
        <x:v>AFTER</x:v>
      </x:c>
      <x:c r="C17" s="35" t="str">
        <x:v>Complete outside</x:v>
      </x:c>
      <x:c r="D17" s="35" t="str">
        <x:v>The teacher summarizes the mission while the learner remains at assembly.</x:v>
      </x:c>
      <x:c r="E17" s="35" t="str">
        <x:v>mission_complete=true; official_clearance=false</x:v>
      </x:c>
      <x:c r="F17" s="35" t="str">
        <x:v>End without re-entry or release authorization.</x:v>
      </x:c>
      <x:c r="G17" s="35" t="str">
        <x:v>SILENT / OPTIONAL SUMMARY
Stay at the meeting point.
Stay with your family or class for headcount at tell the adult in charge kung may missing.</x:v>
      </x:c>
      <x:c r="H17" s="35" t="str">
        <x:v>Reunification is staff-controlled; CALM does not verify or store guardian identity.</x:v>
      </x:c>
      <x:c r="I17" s="43" t="str">
        <x:v>FIR-AFT-002</x:v>
      </x:c>
      <x:c r="J17" s="35" t="str">
        <x:v>END</x:v>
      </x:c>
      <x:c r="K17" s="35" t="str">
        <x:v>NEEDS SCHOOL CONFIG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7">
    <x:cfRule type="containsText" dxfId="24" priority="1" operator="containsText" text="PROTOTYPE"/>
    <x:cfRule type="containsText" dxfId="25" priority="2" operator="containsText" text="READY"/>
    <x:cfRule type="containsText" dxfId="26" priority="3" operator="containsText" text="SCHOOL CONFIG"/>
    <x:cfRule type="containsText" dxfId="27" priority="4" operator="containsText" text="EXTERNAL"/>
    <x:cfRule type="containsText" dxfId="28" priority="5" operator="containsText" text="BFP/LDRRMO"/>
    <x:cfRule type="containsText" dxfId="29" priority="6" operator="containsText" text="TEAM REVIEW"/>
  </x:conditionalFormatting>
  <x:dataValidations count="1">
    <x:dataValidation type="list" sqref="K7:K17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7b501315f143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47" t="str">
        <x:v>FIRE · OUTDOOR · LINEAR MISSION STORYBOARD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4" customHeight="1">
      <x:c r="A2" s="9" t="str">
        <x:v>Keep distance from an unattended outdoor fire, follow the trusted route away from smoke, and report to a responsible adult.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51" t="str">
        <x:v>STATUS
DRAFT — BFP / LOCAL DRRMO REVIEW REQUIRED</x:v>
      </x:c>
      <x:c r="B3" s="51"/>
      <x:c r="C3" s="51" t="str">
        <x:v>EXPERIENCE
First-person · single-user · linear</x:v>
      </x:c>
      <x:c r="D3" s="51"/>
      <x:c r="E3" s="51" t="str">
        <x:v>AUTHORITY
Responsible-adult NPC + BFP/LDRRMO-approved boundary and route</x:v>
      </x:c>
      <x:c r="F3" s="51"/>
      <x:c r="G3" s="51" t="str">
        <x:v>LANGUAGE
Taglish draft shown; EN/FIL packs remain linked</x:v>
      </x:c>
      <x:c r="H3" s="51"/>
      <x:c r="I3" s="51" t="str">
        <x:v>LINEAR RULE
Unsafe choice → pause → calm correction → retry</x:v>
      </x:c>
      <x:c r="J3" s="51"/>
      <x:c r="K3" s="51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62" t="str">
        <x:v>State ID</x:v>
      </x:c>
      <x:c r="B6" s="63" t="str">
        <x:v>Phase</x:v>
      </x:c>
      <x:c r="C6" s="63" t="str">
        <x:v>Action / objective</x:v>
      </x:c>
      <x:c r="D6" s="63" t="str">
        <x:v>Narrative / context</x:v>
      </x:c>
      <x:c r="E6" s="63" t="str">
        <x:v>Trusted VR context sent to CALM</x:v>
      </x:c>
      <x:c r="F6" s="63" t="str">
        <x:v>Learner success gate</x:v>
      </x:c>
      <x:c r="G6" s="63" t="str">
        <x:v>CALM intervention + Taglish line</x:v>
      </x:c>
      <x:c r="H6" s="63" t="str">
        <x:v>Unsafe attempt / must never happen</x:v>
      </x:c>
      <x:c r="I6" s="63" t="str">
        <x:v>Protocol ID</x:v>
      </x:c>
      <x:c r="J6" s="63" t="str">
        <x:v>Next state</x:v>
      </x:c>
      <x:c r="K6" s="64" t="str">
        <x:v>Review status</x:v>
      </x:c>
    </x:row>
    <x:row r="7" ht="72" customHeight="1">
      <x:c r="A7" s="67" t="str">
        <x:v>FIR-O-B01</x:v>
      </x:c>
      <x:c r="B7" s="69" t="str">
        <x:v>BEFORE</x:v>
      </x:c>
      <x:c r="C7" s="34" t="str">
        <x:v>Recognize an outdoor fire boundary</x:v>
      </x:c>
      <x:c r="D7" s="34" t="str">
        <x:v>During supervised outdoor activity, the learner sees a small unattended campfire/burning-trash simulation beyond a safety boundary.</x:v>
      </x:c>
      <x:c r="E7" s="34" t="str">
        <x:v>setting=outdoor; phase=before; safe_zone_id=OUT_FIRE_SAFE_A</x:v>
      </x:c>
      <x:c r="F7" s="34" t="str">
        <x:v>Keep distance, identify the safe zone, and tell the responsible adult.</x:v>
      </x:c>
      <x:c r="G7" s="34" t="str">
        <x:v>AUTO — P1 INSTRUCTION
Keep away from flame and smoke.
Know the approved safe zone at tell a responsible adult kapag may outdoor fire.</x:v>
      </x:c>
      <x:c r="H7" s="34" t="str">
        <x:v>Do not approach, investigate, touch, record, or try to put it out.</x:v>
      </x:c>
      <x:c r="I7" s="42" t="str">
        <x:v>FIR-BEF-003</x:v>
      </x:c>
      <x:c r="J7" s="34" t="str">
        <x:v>FIR-O-B02</x:v>
      </x:c>
      <x:c r="K7" s="34" t="str">
        <x:v>NEEDS BFP/LDRRMO REVIEW</x:v>
      </x:c>
    </x:row>
    <x:row r="8" ht="72" customHeight="1">
      <x:c r="A8" s="68" t="str">
        <x:v>FIR-O-B02</x:v>
      </x:c>
      <x:c r="B8" s="70" t="str">
        <x:v>BEFORE</x:v>
      </x:c>
      <x:c r="C8" s="35" t="str">
        <x:v>Identify the adult and approved route</x:v>
      </x:c>
      <x:c r="D8" s="35" t="str">
        <x:v>The adult points out the alarm point and fixed route to OUT_FIRE_SAFE_A.</x:v>
      </x:c>
      <x:c r="E8" s="35" t="str">
        <x:v>responsible_adult_present=true; safe_route_id=OUT_FIRE_ROUTE_A</x:v>
      </x:c>
      <x:c r="F8" s="35" t="str">
        <x:v>Point to the adult/alarm point and approved route without approaching the fire.</x:v>
      </x:c>
      <x:c r="G8" s="35" t="str">
        <x:v>SILENT UNLESS ASKED
Keep away from flame and smoke.
Know the approved safe zone at tell a responsible adult kapag may outdoor fire.</x:v>
      </x:c>
      <x:c r="H8" s="35" t="str">
        <x:v>CALM does not substitute for reporting to an adult or responder.</x:v>
      </x:c>
      <x:c r="I8" s="43" t="str">
        <x:v>FIR-BEF-003</x:v>
      </x:c>
      <x:c r="J8" s="35" t="str">
        <x:v>FIR-O-D01</x:v>
      </x:c>
      <x:c r="K8" s="35" t="str">
        <x:v>NEEDS BFP/LDRRMO REVIEW</x:v>
      </x:c>
    </x:row>
    <x:row r="9" ht="72" customHeight="1">
      <x:c r="A9" s="68" t="str">
        <x:v>FIR-O-D01</x:v>
      </x:c>
      <x:c r="B9" s="70" t="str">
        <x:v>DURING</x:v>
      </x:c>
      <x:c r="C9" s="35" t="str">
        <x:v>Move away from fire and smoke</x:v>
      </x:c>
      <x:c r="D9" s="35" t="str">
        <x:v>Smoke increases in a controlled, stylized manner. The adult leads the fixed trusted route.</x:v>
      </x:c>
      <x:c r="E9" s="35" t="str">
        <x:v>hazard_active=true; fire_or_smoke_confirmed=true; safe_route_id=OUT_FIRE_ROUTE_A</x:v>
      </x:c>
      <x:c r="F9" s="35" t="str">
        <x:v>Turn away, follow the trusted route, reach OUT_FIRE_SAFE_A, and remain there.</x:v>
      </x:c>
      <x:c r="G9" s="35" t="str">
        <x:v>AUTO — P0 SAFETY
Move away from the fire and smoke.
Follow the approved safe route, alert an adult, at stay sa safe zone.</x:v>
      </x:c>
      <x:c r="H9" s="35" t="str">
        <x:v>Do not choose a path through smoke or guess wind direction independently.</x:v>
      </x:c>
      <x:c r="I9" s="43" t="str">
        <x:v>FIR-DUR-008</x:v>
      </x:c>
      <x:c r="J9" s="35" t="str">
        <x:v>FIR-O-A01</x:v>
      </x:c>
      <x:c r="K9" s="35" t="str">
        <x:v>NEEDS BFP/LDRRMO REVIEW</x:v>
      </x:c>
    </x:row>
    <x:row r="10" ht="72" customHeight="1">
      <x:c r="A10" s="68" t="str">
        <x:v>FIR-O-D02</x:v>
      </x:c>
      <x:c r="B10" s="70" t="str">
        <x:v>DURING</x:v>
      </x:c>
      <x:c r="C10" s="35" t="str">
        <x:v>Correct approach or firefighting</x:v>
      </x:c>
      <x:c r="D10" s="35" t="str">
        <x:v>If the learner moves toward the fire or reaches for an object, the boundary stops the action.</x:v>
      </x:c>
      <x:c r="E10" s="35" t="str">
        <x:v>learner_action=attempt_fight_fire_or_approach</x:v>
      </x:c>
      <x:c r="F10" s="35" t="str">
        <x:v>Move away and resume the approved route.</x:v>
      </x:c>
      <x:c r="G10" s="35" t="str">
        <x:v>AUTO — P0 CORRECTION
Do not fight the fire—move away.
Alert an adult and use the approved safe exit or safe zone. Firefighters ang hahawak sa fire.</x:v>
      </x:c>
      <x:c r="H10" s="35" t="str">
        <x:v>No water, sand, hose, extinguisher, rescue, recording, or close inspection.</x:v>
      </x:c>
      <x:c r="I10" s="43" t="str">
        <x:v>FIR-DUR-007</x:v>
      </x:c>
      <x:c r="J10" s="35" t="str">
        <x:v>FIR-O-A01</x:v>
      </x:c>
      <x:c r="K10" s="35" t="str">
        <x:v>NEEDS BFP/LDRRMO REVIEW</x:v>
      </x:c>
    </x:row>
    <x:row r="11" ht="72" customHeight="1">
      <x:c r="A11" s="68" t="str">
        <x:v>FIR-O-A01</x:v>
      </x:c>
      <x:c r="B11" s="70" t="str">
        <x:v>AFTER</x:v>
      </x:c>
      <x:c r="C11" s="35" t="str">
        <x:v>Remain at the outdoor safe zone</x:v>
      </x:c>
      <x:c r="D11" s="35" t="str">
        <x:v>The learner and adult are outside the safety perimeter while responders are implied off-screen.</x:v>
      </x:c>
      <x:c r="E11" s="35" t="str">
        <x:v>at_safe_zone=true; safe_zone_id=OUT_FIRE_SAFE_A; official_clearance=false</x:v>
      </x:c>
      <x:c r="F11" s="35" t="str">
        <x:v>Stay at the safe zone and wait for adult/responder instructions.</x:v>
      </x:c>
      <x:c r="G11" s="35" t="str">
        <x:v>AUTO — P1 INSTRUCTION
Keep away from the burned area.
Stay sa approved safe zone, report hazards to an adult, at wait for responder clearance.</x:v>
      </x:c>
      <x:c r="H11" s="35" t="str">
        <x:v>Do not approach ash, debris, containers, wires, or burned objects.</x:v>
      </x:c>
      <x:c r="I11" s="43" t="str">
        <x:v>FIR-AFT-003</x:v>
      </x:c>
      <x:c r="J11" s="35" t="str">
        <x:v>FIR-O-A02</x:v>
      </x:c>
      <x:c r="K11" s="35" t="str">
        <x:v>NEEDS BFP/LDRRMO REVIEW</x:v>
      </x:c>
    </x:row>
    <x:row r="12" ht="72" customHeight="1">
      <x:c r="A12" s="68" t="str">
        <x:v>FIR-O-A02</x:v>
      </x:c>
      <x:c r="B12" s="70" t="str">
        <x:v>AFTER</x:v>
      </x:c>
      <x:c r="C12" s="35" t="str">
        <x:v>Report what and where</x:v>
      </x:c>
      <x:c r="D12" s="35" t="str">
        <x:v>The adult asks the learner to identify the fire’s fictional map marker from the safe zone.</x:v>
      </x:c>
      <x:c r="E12" s="35" t="str">
        <x:v>responsible_adult_present=true; zone=OUT_FIRE_SAFE_A</x:v>
      </x:c>
      <x:c r="F12" s="35" t="str">
        <x:v>Tell the adult the scenario location and any missing fictional avatar; remain in place.</x:v>
      </x:c>
      <x:c r="G12" s="35" t="str">
        <x:v>ON QUESTION / CONFIRM
Keep away from the burned area.
Stay sa approved safe zone, report hazards to an adult, at wait for responder clearance.</x:v>
      </x:c>
      <x:c r="H12" s="35" t="str">
        <x:v>Do not present CALM as an emergency dispatch service or store real location/identity.</x:v>
      </x:c>
      <x:c r="I12" s="43" t="str">
        <x:v>FIR-AFT-003</x:v>
      </x:c>
      <x:c r="J12" s="35" t="str">
        <x:v>FIR-O-A03</x:v>
      </x:c>
      <x:c r="K12" s="35" t="str">
        <x:v>NEEDS BFP/LDRRMO REVIEW</x:v>
      </x:c>
    </x:row>
    <x:row r="13" ht="72" customHeight="1">
      <x:c r="A13" s="68" t="str">
        <x:v>FIR-O-A03</x:v>
      </x:c>
      <x:c r="B13" s="70" t="str">
        <x:v>AFTER</x:v>
      </x:c>
      <x:c r="C13" s="35" t="str">
        <x:v>Leave cleanup and rescue to adults</x:v>
      </x:c>
      <x:c r="D13" s="35" t="str">
        <x:v>Burned-object props remain behind a non-interactive boundary.</x:v>
      </x:c>
      <x:c r="E13" s="35" t="str">
        <x:v>learner_action=approach_debris; official_clearance=false</x:v>
      </x:c>
      <x:c r="F13" s="35" t="str">
        <x:v>Keep distance and tell the adult about the concern.</x:v>
      </x:c>
      <x:c r="G13" s="35" t="str">
        <x:v>AUTO — P1 CORRECTION
Keep away from the burned area.
Stay sa approved safe zone, report hazards to an adult, at wait for responder clearance.</x:v>
      </x:c>
      <x:c r="H13" s="35" t="str">
        <x:v>No touching, cleanup, rescue, or checking whether the fire is out.</x:v>
      </x:c>
      <x:c r="I13" s="43" t="str">
        <x:v>FIR-AFT-003</x:v>
      </x:c>
      <x:c r="J13" s="35" t="str">
        <x:v>FIR-O-END</x:v>
      </x:c>
      <x:c r="K13" s="35" t="str">
        <x:v>NEEDS BFP/LDRRMO REVIEW</x:v>
      </x:c>
    </x:row>
    <x:row r="14" ht="72" customHeight="1">
      <x:c r="A14" s="68" t="str">
        <x:v>FIR-O-END</x:v>
      </x:c>
      <x:c r="B14" s="70" t="str">
        <x:v>AFTER</x:v>
      </x:c>
      <x:c r="C14" s="35" t="str">
        <x:v>Complete at the safe zone</x:v>
      </x:c>
      <x:c r="D14" s="35" t="str">
        <x:v>The adult confirms the learner kept distance, moved safely, reported, and waited.</x:v>
      </x:c>
      <x:c r="E14" s="35" t="str">
        <x:v>mission_complete=true; at_safe_zone=true</x:v>
      </x:c>
      <x:c r="F14" s="35" t="str">
        <x:v>End outside the boundary.</x:v>
      </x:c>
      <x:c r="G14" s="35" t="str">
        <x:v>SILENT / OPTIONAL SUMMARY
Keep away from the burned area.
Stay sa approved safe zone, report hazards to an adult, at wait for responder clearance.</x:v>
      </x:c>
      <x:c r="H14" s="35" t="str">
        <x:v>Do not deploy this story until BFP and local DRRMO approve route, boundary, and wording.</x:v>
      </x:c>
      <x:c r="I14" s="43" t="str">
        <x:v>FIR-AFT-003</x:v>
      </x:c>
      <x:c r="J14" s="35" t="str">
        <x:v>END</x:v>
      </x:c>
      <x:c r="K14" s="35" t="str">
        <x:v>NEEDS EXTERNAL REVIEW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4">
    <x:cfRule type="containsText" dxfId="30" priority="1" operator="containsText" text="PROTOTYPE"/>
    <x:cfRule type="containsText" dxfId="31" priority="2" operator="containsText" text="READY"/>
    <x:cfRule type="containsText" dxfId="32" priority="3" operator="containsText" text="SCHOOL CONFIG"/>
    <x:cfRule type="containsText" dxfId="33" priority="4" operator="containsText" text="EXTERNAL"/>
    <x:cfRule type="containsText" dxfId="34" priority="5" operator="containsText" text="BFP/LDRRMO"/>
    <x:cfRule type="containsText" dxfId="35" priority="6" operator="containsText" text="TEAM REVIEW"/>
  </x:conditionalFormatting>
  <x:dataValidations count="1">
    <x:dataValidation type="list" sqref="K7:K14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e1d10e03524e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74" t="str">
        <x:v>TYPHOON · HOME · LINEAR MISSION STORYBOARD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 ht="34" customHeight="1">
      <x:c r="A2" s="9" t="str">
        <x:v>Use verified information, prepare with a guardian, shelter away from glass, and wait for official clearance.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78" t="str">
        <x:v>STATUS
STORY DRAFT — NOT YET IN UNITY</x:v>
      </x:c>
      <x:c r="B3" s="78"/>
      <x:c r="C3" s="78" t="str">
        <x:v>EXPERIENCE
First-person · single-user · linear</x:v>
      </x:c>
      <x:c r="D3" s="78"/>
      <x:c r="E3" s="78" t="str">
        <x:v>AUTHORITY
Guardian NPC + authenticated alert/route adapter</x:v>
      </x:c>
      <x:c r="F3" s="78"/>
      <x:c r="G3" s="78" t="str">
        <x:v>LANGUAGE
Taglish draft shown; EN/FIL packs remain linked</x:v>
      </x:c>
      <x:c r="H3" s="78"/>
      <x:c r="I3" s="78" t="str">
        <x:v>LINEAR RULE
Unsafe choice → pause → calm correction → retry</x:v>
      </x:c>
      <x:c r="J3" s="78"/>
      <x:c r="K3" s="78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89" t="str">
        <x:v>State ID</x:v>
      </x:c>
      <x:c r="B6" s="90" t="str">
        <x:v>Phase</x:v>
      </x:c>
      <x:c r="C6" s="90" t="str">
        <x:v>Action / objective</x:v>
      </x:c>
      <x:c r="D6" s="90" t="str">
        <x:v>Narrative / context</x:v>
      </x:c>
      <x:c r="E6" s="90" t="str">
        <x:v>Trusted VR context sent to CALM</x:v>
      </x:c>
      <x:c r="F6" s="90" t="str">
        <x:v>Learner success gate</x:v>
      </x:c>
      <x:c r="G6" s="90" t="str">
        <x:v>CALM intervention + Taglish line</x:v>
      </x:c>
      <x:c r="H6" s="90" t="str">
        <x:v>Unsafe attempt / must never happen</x:v>
      </x:c>
      <x:c r="I6" s="90" t="str">
        <x:v>Protocol ID</x:v>
      </x:c>
      <x:c r="J6" s="90" t="str">
        <x:v>Next state</x:v>
      </x:c>
      <x:c r="K6" s="91" t="str">
        <x:v>Review status</x:v>
      </x:c>
    </x:row>
    <x:row r="7" ht="72" customHeight="1">
      <x:c r="A7" s="94" t="str">
        <x:v>TYP-H-B01</x:v>
      </x:c>
      <x:c r="B7" s="96" t="str">
        <x:v>BEFORE</x:v>
      </x:c>
      <x:c r="C7" s="34" t="str">
        <x:v>Use a verified weather update</x:v>
      </x:c>
      <x:c r="D7" s="34" t="str">
        <x:v>A guardian shows a verified PAGASA/LGU message on an in-world display. CALM does not fetch or claim a live signal.</x:v>
      </x:c>
      <x:c r="E7" s="34" t="str">
        <x:v>setting=home; phase=before; authenticated_update_present=true</x:v>
      </x:c>
      <x:c r="F7" s="34" t="str">
        <x:v>Choose the verified display and ask the guardian if the message is unclear.</x:v>
      </x:c>
      <x:c r="G7" s="34" t="str">
        <x:v>ON QUESTION / CONFIRM
Use an official weather update.
Check PAGASA or the verified school, LGU, barangay, teacher, or guardian message. Ask an adult kung unclear.</x:v>
      </x:c>
      <x:c r="H7" s="34" t="str">
        <x:v>Do not trust/forward an unverified post or ask the static corpus for the current TCWS.</x:v>
      </x:c>
      <x:c r="I7" s="42" t="str">
        <x:v>TYP-BEF-001</x:v>
      </x:c>
      <x:c r="J7" s="34" t="str">
        <x:v>TYP-H-B02</x:v>
      </x:c>
      <x:c r="K7" s="34" t="str">
        <x:v>NEEDS TEAM REVIEW</x:v>
      </x:c>
    </x:row>
    <x:row r="8" ht="72" customHeight="1">
      <x:c r="A8" s="95" t="str">
        <x:v>TYP-H-B02</x:v>
      </x:c>
      <x:c r="B8" s="97" t="str">
        <x:v>BEFORE</x:v>
      </x:c>
      <x:c r="C8" s="35" t="str">
        <x:v>Prepare a child-safe go-bag with a guardian</x:v>
      </x:c>
      <x:c r="D8" s="35" t="str">
        <x:v>The learner selects water, ready-to-eat food, clothing, flashlight, whistle, radio, rain gear, hygiene, blanket, and comfort item.</x:v>
      </x:c>
      <x:c r="E8" s="35" t="str">
        <x:v>go_bag_activity_started=true; responsible_adult_present=true</x:v>
      </x:c>
      <x:c r="F8" s="35" t="str">
        <x:v>Choose only child-safe supplies and leave adult-controlled items to the guardian.</x:v>
      </x:c>
      <x:c r="G8" s="35" t="str">
        <x:v>ON QUESTION / CONFIRM
Prepare the go-bag with a guardian.
Check child-safe supplies and the family route. Never handle hazardous items or delay evacuation para kunin ang bag.</x:v>
      </x:c>
      <x:c r="H8" s="35" t="str">
        <x:v>No matches, knives, medicine, cash, documents, fuel, chemicals, or later bag retrieval that delays evacuation.</x:v>
      </x:c>
      <x:c r="I8" s="43" t="str">
        <x:v>TYP-BEF-002</x:v>
      </x:c>
      <x:c r="J8" s="35" t="str">
        <x:v>TYP-H-B03</x:v>
      </x:c>
      <x:c r="K8" s="35" t="str">
        <x:v>NEEDS TEAM REVIEW</x:v>
      </x:c>
    </x:row>
    <x:row r="9" ht="72" customHeight="1">
      <x:c r="A9" s="95" t="str">
        <x:v>TYP-H-B03</x:v>
      </x:c>
      <x:c r="B9" s="97" t="str">
        <x:v>BEFORE</x:v>
      </x:c>
      <x:c r="C9" s="35" t="str">
        <x:v>Know the family safe room and route</x:v>
      </x:c>
      <x:c r="D9" s="35" t="str">
        <x:v>The guardian identifies an approved indoor safe area away from windows and the family route/meeting point.</x:v>
      </x:c>
      <x:c r="E9" s="35" t="str">
        <x:v>current_shelter_approved=true; safe_zone_id=HOME_SAFE_ROOM_A; safe_route_id=HOME_TYP_ROUTE_A</x:v>
      </x:c>
      <x:c r="F9" s="35" t="str">
        <x:v>Point to HOME_SAFE_ROOM_A and the guardian-led route.</x:v>
      </x:c>
      <x:c r="G9" s="35" t="str">
        <x:v>SILENT UNLESS ASKED
Prepare the go-bag with a guardian.
Check child-safe supplies and the family route. Never handle hazardous items or delay evacuation para kunin ang bag.</x:v>
      </x:c>
      <x:c r="H9" s="35" t="str">
        <x:v>The learner does not go outdoors to secure roofs, trees, wires, or heavy objects.</x:v>
      </x:c>
      <x:c r="I9" s="43" t="str">
        <x:v>TYP-BEF-002</x:v>
      </x:c>
      <x:c r="J9" s="35" t="str">
        <x:v>TYP-H-D01</x:v>
      </x:c>
      <x:c r="K9" s="35" t="str">
        <x:v>NEEDS TEAM REVIEW</x:v>
      </x:c>
    </x:row>
    <x:row r="10" ht="72" customHeight="1">
      <x:c r="A10" s="95" t="str">
        <x:v>TYP-H-D01</x:v>
      </x:c>
      <x:c r="B10" s="97" t="str">
        <x:v>DURING</x:v>
      </x:c>
      <x:c r="C10" s="35" t="str">
        <x:v>Shelter away from windows</x:v>
      </x:c>
      <x:c r="D10" s="35" t="str">
        <x:v>Heavy rain and wind audio begin. The guardian leads the learner to HOME_SAFE_ROOM_A.</x:v>
      </x:c>
      <x:c r="E10" s="35" t="str">
        <x:v>hazard_active=true; current_shelter_approved=true; location_type=indoors</x:v>
      </x:c>
      <x:c r="F10" s="35" t="str">
        <x:v>Stay calm in the safe area, away from windows, and listen to the guardian/verified display.</x:v>
      </x:c>
      <x:c r="G10" s="35" t="str">
        <x:v>AUTO — P0/P1 SAFETY
Stay in the safe area away from windows.
Remain calm and listen to your teacher, guardian, or verified update. Follow the evacuation order kung meron.</x:v>
      </x:c>
      <x:c r="H10" s="35" t="str">
        <x:v>Do not go outside, watch/record near glass, or ignore a later authenticated order.</x:v>
      </x:c>
      <x:c r="I10" s="43" t="str">
        <x:v>TYP-DUR-001</x:v>
      </x:c>
      <x:c r="J10" s="35" t="str">
        <x:v>TYP-H-D02</x:v>
      </x:c>
      <x:c r="K10" s="35" t="str">
        <x:v>NEEDS TEAM REVIEW</x:v>
      </x:c>
    </x:row>
    <x:row r="11" ht="72" customHeight="1">
      <x:c r="A11" s="95" t="str">
        <x:v>TYP-H-D02</x:v>
      </x:c>
      <x:c r="B11" s="97" t="str">
        <x:v>DURING</x:v>
      </x:c>
      <x:c r="C11" s="35" t="str">
        <x:v>Correct window-watching</x:v>
      </x:c>
      <x:c r="D11" s="35" t="str">
        <x:v>If the learner approaches the window, a comfort boundary stops movement and returns focus to the safe area.</x:v>
      </x:c>
      <x:c r="E11" s="35" t="str">
        <x:v>learner_action=approach_window; current_shelter_approved=true</x:v>
      </x:c>
      <x:c r="F11" s="35" t="str">
        <x:v>Move back to HOME_SAFE_ROOM_A and remain with the guardian.</x:v>
      </x:c>
      <x:c r="G11" s="35" t="str">
        <x:v>AUTO — P1 CORRECTION
Stay in the safe area away from windows.
Remain calm and listen to your teacher, guardian, or verified update. Follow the evacuation order kung meron.</x:v>
      </x:c>
      <x:c r="H11" s="35" t="str">
        <x:v>No shattered-glass punishment or frightening impact.</x:v>
      </x:c>
      <x:c r="I11" s="43" t="str">
        <x:v>TYP-DUR-001</x:v>
      </x:c>
      <x:c r="J11" s="35" t="str">
        <x:v>TYP-H-D03</x:v>
      </x:c>
      <x:c r="K11" s="35" t="str">
        <x:v>NEEDS TEAM REVIEW</x:v>
      </x:c>
    </x:row>
    <x:row r="12" ht="72" customHeight="1">
      <x:c r="A12" s="95" t="str">
        <x:v>TYP-H-D03</x:v>
      </x:c>
      <x:c r="B12" s="97" t="str">
        <x:v>DURING</x:v>
      </x:c>
      <x:c r="C12" s="35" t="str">
        <x:v>Move higher by a dry approved route</x:v>
      </x:c>
      <x:c r="D12" s="35" t="str">
        <x:v>A fixed scripted event shows rising water blocking the lower exit. The guardian leads a dry interior route to HIGH_SAFE_AREA_A.</x:v>
      </x:c>
      <x:c r="E12" s="35" t="str">
        <x:v>rising_water_present=true; floodwater_present=true; safe_route_id=HOME_DRY_ROUTE_B</x:v>
      </x:c>
      <x:c r="F12" s="35" t="str">
        <x:v>Stay with the guardian and use only the dry approved route to the higher safe area.</x:v>
      </x:c>
      <x:c r="G12" s="35" t="str">
        <x:v>AUTO — P0 SAFETY
Use the approved dry route to higher safety.
Stay with the adult or class, do not enter the water, at signal your location.</x:v>
      </x:c>
      <x:c r="H12" s="35" t="str">
        <x:v>Do not enter water or climb an unapproved roof, tree, or unstable object.</x:v>
      </x:c>
      <x:c r="I12" s="43" t="str">
        <x:v>TYP-DUR-006</x:v>
      </x:c>
      <x:c r="J12" s="35" t="str">
        <x:v>TYP-H-A01</x:v>
      </x:c>
      <x:c r="K12" s="35" t="str">
        <x:v>NEEDS TEAM REVIEW</x:v>
      </x:c>
    </x:row>
    <x:row r="13" ht="72" customHeight="1">
      <x:c r="A13" s="95" t="str">
        <x:v>TYP-H-A01</x:v>
      </x:c>
      <x:c r="B13" s="97" t="str">
        <x:v>AFTER</x:v>
      </x:c>
      <x:c r="C13" s="35" t="str">
        <x:v>Wait even when weather looks calmer</x:v>
      </x:c>
      <x:c r="D13" s="35" t="str">
        <x:v>Rain audio softens, but official_clearance_received remains false.</x:v>
      </x:c>
      <x:c r="E13" s="35" t="str">
        <x:v>phase=after; official_clearance_received=false; current_shelter_approved=true</x:v>
      </x:c>
      <x:c r="F13" s="35" t="str">
        <x:v>Remain in the approved safe area and listen for verified clearance.</x:v>
      </x:c>
      <x:c r="G13" s="35" t="str">
        <x:v>AUTO — P1 INSTRUCTION
Wait for official clearance.
Stay sa approved safe area until an authority, teacher, or guardian confirms na safe ang route.</x:v>
      </x:c>
      <x:c r="H13" s="35" t="str">
        <x:v>Do not go outside or return just because conditions look calm.</x:v>
      </x:c>
      <x:c r="I13" s="43" t="str">
        <x:v>TYP-AFT-001</x:v>
      </x:c>
      <x:c r="J13" s="35" t="str">
        <x:v>TYP-H-A02</x:v>
      </x:c>
      <x:c r="K13" s="35" t="str">
        <x:v>NEEDS TEAM REVIEW</x:v>
      </x:c>
    </x:row>
    <x:row r="14" ht="72" customHeight="1">
      <x:c r="A14" s="95" t="str">
        <x:v>TYP-H-A02</x:v>
      </x:c>
      <x:c r="B14" s="97" t="str">
        <x:v>AFTER</x:v>
      </x:c>
      <x:c r="C14" s="35" t="str">
        <x:v>Use only the cleared route</x:v>
      </x:c>
      <x:c r="D14" s="35" t="str">
        <x:v>A verified guardian/authority cue confirms one cleared path. Debris and standing water stay behind boundaries.</x:v>
      </x:c>
      <x:c r="E14" s="35" t="str">
        <x:v>official_clearance_received=true; safe_route_id=HOME_CLEAR_ROUTE_A</x:v>
      </x:c>
      <x:c r="F14" s="35" t="str">
        <x:v>Move with the guardian on the cleared route and keep distance from damage.</x:v>
      </x:c>
      <x:c r="G14" s="35" t="str">
        <x:v>AUTO — P1 INSTRUCTION
Keep away from damaged areas.
Report the hazard to an adult or responder and use only a cleared route.</x:v>
      </x:c>
      <x:c r="H14" s="35" t="str">
        <x:v>No exploring, touching debris, inspecting structures, or crossing water.</x:v>
      </x:c>
      <x:c r="I14" s="43" t="str">
        <x:v>TYP-AFT-002</x:v>
      </x:c>
      <x:c r="J14" s="35" t="str">
        <x:v>TYP-H-A03</x:v>
      </x:c>
      <x:c r="K14" s="35" t="str">
        <x:v>NEEDS TEAM REVIEW</x:v>
      </x:c>
    </x:row>
    <x:row r="15" ht="72" customHeight="1">
      <x:c r="A15" s="95" t="str">
        <x:v>TYP-H-A03</x:v>
      </x:c>
      <x:c r="B15" s="97" t="str">
        <x:v>AFTER</x:v>
      </x:c>
      <x:c r="C15" s="35" t="str">
        <x:v>Report wet electrical damage</x:v>
      </x:c>
      <x:c r="D15" s="35" t="str">
        <x:v>A wet outlet/downed-wire prop is visible from the cleared route.</x:v>
      </x:c>
      <x:c r="E15" s="35" t="str">
        <x:v>downed_line_or_wet_electrical_hazard=true; learner_action=notice_hazard</x:v>
      </x:c>
      <x:c r="F15" s="35" t="str">
        <x:v>Stop, keep away, warn nearby people, and tell the guardian/responder.</x:v>
      </x:c>
      <x:c r="G15" s="35" t="str">
        <x:v>AUTO — P0/P1 SAFETY
Keep away from the wire or wet electrical item.
Do not touch it or nearby water. Warn others and tell an adult or responder.</x:v>
      </x:c>
      <x:c r="H15" s="35" t="str">
        <x:v>Do not touch wires, outlets, appliances, water near electricity, breakers, or switches.</x:v>
      </x:c>
      <x:c r="I15" s="43" t="str">
        <x:v>TYP-DUR-005</x:v>
      </x:c>
      <x:c r="J15" s="35" t="str">
        <x:v>TYP-H-A04</x:v>
      </x:c>
      <x:c r="K15" s="35" t="str">
        <x:v>NEEDS TEAM REVIEW</x:v>
      </x:c>
    </x:row>
    <x:row r="16" ht="72" customHeight="1">
      <x:c r="A16" s="95" t="str">
        <x:v>TYP-H-A04</x:v>
      </x:c>
      <x:c r="B16" s="97" t="str">
        <x:v>AFTER</x:v>
      </x:c>
      <x:c r="C16" s="35" t="str">
        <x:v>Tell the guardian how you feel</x:v>
      </x:c>
      <x:c r="D16" s="35" t="str">
        <x:v>The mission deliberately ends with a calm emotional check-in, not diagnosis or counselling.</x:v>
      </x:c>
      <x:c r="E16" s="35" t="str">
        <x:v>at_safe_zone=true; responsible_adult_present=true</x:v>
      </x:c>
      <x:c r="F16" s="35" t="str">
        <x:v>Tell the guardian about fear, pain, or questions.</x:v>
      </x:c>
      <x:c r="G16" s="35" t="str">
        <x:v>ON QUESTION / SUPPORT
Tell a trusted adult how you feel.
Okay lang to feel worried. Ask what happens next and stay with your family sa safe area.</x:v>
      </x:c>
      <x:c r="H16" s="35" t="str">
        <x:v>CALM does not diagnose, counsel, or store medical/emotional details.</x:v>
      </x:c>
      <x:c r="I16" s="43" t="str">
        <x:v>TYP-AFT-004</x:v>
      </x:c>
      <x:c r="J16" s="35" t="str">
        <x:v>TYP-H-END</x:v>
      </x:c>
      <x:c r="K16" s="35" t="str">
        <x:v>NEEDS TEAM REVIEW</x:v>
      </x:c>
    </x:row>
    <x:row r="17" ht="72" customHeight="1">
      <x:c r="A17" s="95" t="str">
        <x:v>TYP-H-END</x:v>
      </x:c>
      <x:c r="B17" s="97" t="str">
        <x:v>AFTER</x:v>
      </x:c>
      <x:c r="C17" s="35" t="str">
        <x:v>Complete with the guardian</x:v>
      </x:c>
      <x:c r="D17" s="35" t="str">
        <x:v>The guardian summarizes verified information, preparation, sheltering, and safe waiting.</x:v>
      </x:c>
      <x:c r="E17" s="35" t="str">
        <x:v>mission_complete=true; at_safe_zone=true</x:v>
      </x:c>
      <x:c r="F17" s="35" t="str">
        <x:v>End in the approved safe area.</x:v>
      </x:c>
      <x:c r="G17" s="35" t="str">
        <x:v>SILENT / OPTIONAL SUMMARY
Wait for official clearance.
Stay sa approved safe area until an authority, teacher, or guardian confirms na safe ang route.</x:v>
      </x:c>
      <x:c r="H17" s="35" t="str">
        <x:v>No live-alert claim or persistent conversation log.</x:v>
      </x:c>
      <x:c r="I17" s="43" t="str">
        <x:v>TYP-AFT-001</x:v>
      </x:c>
      <x:c r="J17" s="35" t="str">
        <x:v>END</x:v>
      </x:c>
      <x:c r="K17" s="35" t="str">
        <x:v>NEEDS TEAM REVIEW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7">
    <x:cfRule type="containsText" dxfId="36" priority="1" operator="containsText" text="PROTOTYPE"/>
    <x:cfRule type="containsText" dxfId="37" priority="2" operator="containsText" text="READY"/>
    <x:cfRule type="containsText" dxfId="38" priority="3" operator="containsText" text="SCHOOL CONFIG"/>
    <x:cfRule type="containsText" dxfId="39" priority="4" operator="containsText" text="EXTERNAL"/>
    <x:cfRule type="containsText" dxfId="40" priority="5" operator="containsText" text="BFP/LDRRMO"/>
    <x:cfRule type="containsText" dxfId="41" priority="6" operator="containsText" text="TEAM REVIEW"/>
  </x:conditionalFormatting>
  <x:dataValidations count="1">
    <x:dataValidation type="list" sqref="K7:K17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787a407346464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74" t="str">
        <x:v>TYPHOON · SCHOOL · LINEAR MISSION STORYBOARD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 ht="34" customHeight="1">
      <x:c r="A2" s="9" t="str">
        <x:v>Learn the school plan, follow the teacher, treat floodwater as a blocked route, and remain for headcount/reunification.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78" t="str">
        <x:v>STATUS
STORY DRAFT — SCHOOL PROFILE REQUIRED</x:v>
      </x:c>
      <x:c r="B3" s="78"/>
      <x:c r="C3" s="78" t="str">
        <x:v>EXPERIENCE
First-person · single-user · linear</x:v>
      </x:c>
      <x:c r="D3" s="78"/>
      <x:c r="E3" s="78" t="str">
        <x:v>AUTHORITY
Teacher NPC + versioned school typhoon/reunification profile</x:v>
      </x:c>
      <x:c r="F3" s="78"/>
      <x:c r="G3" s="78" t="str">
        <x:v>LANGUAGE
Taglish draft shown; EN/FIL packs remain linked</x:v>
      </x:c>
      <x:c r="H3" s="78"/>
      <x:c r="I3" s="78" t="str">
        <x:v>LINEAR RULE
Unsafe choice → pause → calm correction → retry</x:v>
      </x:c>
      <x:c r="J3" s="78"/>
      <x:c r="K3" s="78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89" t="str">
        <x:v>State ID</x:v>
      </x:c>
      <x:c r="B6" s="90" t="str">
        <x:v>Phase</x:v>
      </x:c>
      <x:c r="C6" s="90" t="str">
        <x:v>Action / objective</x:v>
      </x:c>
      <x:c r="D6" s="90" t="str">
        <x:v>Narrative / context</x:v>
      </x:c>
      <x:c r="E6" s="90" t="str">
        <x:v>Trusted VR context sent to CALM</x:v>
      </x:c>
      <x:c r="F6" s="90" t="str">
        <x:v>Learner success gate</x:v>
      </x:c>
      <x:c r="G6" s="90" t="str">
        <x:v>CALM intervention + Taglish line</x:v>
      </x:c>
      <x:c r="H6" s="90" t="str">
        <x:v>Unsafe attempt / must never happen</x:v>
      </x:c>
      <x:c r="I6" s="90" t="str">
        <x:v>Protocol ID</x:v>
      </x:c>
      <x:c r="J6" s="90" t="str">
        <x:v>Next state</x:v>
      </x:c>
      <x:c r="K6" s="91" t="str">
        <x:v>Review status</x:v>
      </x:c>
    </x:row>
    <x:row r="7" ht="72" customHeight="1">
      <x:c r="A7" s="94" t="str">
        <x:v>TYP-S-B01</x:v>
      </x:c>
      <x:c r="B7" s="96" t="str">
        <x:v>BEFORE</x:v>
      </x:c>
      <x:c r="C7" s="34" t="str">
        <x:v>Learn the school warning, safe room, and reunification point</x:v>
      </x:c>
      <x:c r="D7" s="34" t="str">
        <x:v>The teacher introduces the configured school cue, safe room, primary/alternate routes, assembly, and controlled release point.</x:v>
      </x:c>
      <x:c r="E7" s="34" t="str">
        <x:v>setting=school; alarm_id=SIM_TYP_SHELTER_CUE; safe_zone_id=SCHOOL_SAFE_ROOM_A</x:v>
      </x:c>
      <x:c r="F7" s="34" t="str">
        <x:v>Identify the approved cue meaning, safe room, and teacher-led route.</x:v>
      </x:c>
      <x:c r="G7" s="34" t="str">
        <x:v>ON QUESTION / CONFIRM
Know your school's warning and route.
Learn the approved safe room, exit, and reunification point from your teacher, then practise the drill.</x:v>
      </x:c>
      <x:c r="H7" s="34" t="str">
        <x:v>CALM never invents a cue, campus route, safe room, or reunification procedure.</x:v>
      </x:c>
      <x:c r="I7" s="42" t="str">
        <x:v>TYP-BEF-003</x:v>
      </x:c>
      <x:c r="J7" s="34" t="str">
        <x:v>TYP-S-B02</x:v>
      </x:c>
      <x:c r="K7" s="34" t="str">
        <x:v>NEEDS SCHOOL CONFIG</x:v>
      </x:c>
    </x:row>
    <x:row r="8" ht="72" customHeight="1">
      <x:c r="A8" s="95" t="str">
        <x:v>TYP-S-B02</x:v>
      </x:c>
      <x:c r="B8" s="97" t="str">
        <x:v>BEFORE</x:v>
      </x:c>
      <x:c r="C8" s="35" t="str">
        <x:v>Help secure lightweight classroom materials</x:v>
      </x:c>
      <x:c r="D8" s="35" t="str">
        <x:v>With teacher supervision, the learner moves only light paper/materials away from the window and keeps exits clear.</x:v>
      </x:c>
      <x:c r="E8" s="35" t="str">
        <x:v>responsible_adult_present=true; phase=before; zone=CLASSROOM_A</x:v>
      </x:c>
      <x:c r="F8" s="35" t="str">
        <x:v>Move the approved lightweight object to its marked low shelf.</x:v>
      </x:c>
      <x:c r="G8" s="35" t="str">
        <x:v>DELAYED HINT / CONFIRM
Know your school's warning and route.
Learn the approved safe room, exit, and reunification point from your teacher, then practise the drill.</x:v>
      </x:c>
      <x:c r="H8" s="35" t="str">
        <x:v>No climbing, heavy lifting, electrical equipment, exterior work, windows, roofs, or utilities.</x:v>
      </x:c>
      <x:c r="I8" s="43" t="str">
        <x:v>TYP-BEF-003</x:v>
      </x:c>
      <x:c r="J8" s="35" t="str">
        <x:v>TYP-S-D01</x:v>
      </x:c>
      <x:c r="K8" s="35" t="str">
        <x:v>NEEDS TEAM REVIEW</x:v>
      </x:c>
    </x:row>
    <x:row r="9" ht="72" customHeight="1">
      <x:c r="A9" s="95" t="str">
        <x:v>TYP-S-D01</x:v>
      </x:c>
      <x:c r="B9" s="97" t="str">
        <x:v>DURING</x:v>
      </x:c>
      <x:c r="C9" s="35" t="str">
        <x:v>Follow the teacher to the safe area</x:v>
      </x:c>
      <x:c r="D9" s="35" t="str">
        <x:v>Heavy rain begins and the teacher activates the configured movement/shelter cue.</x:v>
      </x:c>
      <x:c r="E9" s="35" t="str">
        <x:v>hazard_active=true; responsible_adult_present=true; safe_route_id=TYP_ROUTE_A</x:v>
      </x:c>
      <x:c r="F9" s="35" t="str">
        <x:v>Move with the class and stay in the assigned safe area for headcount.</x:v>
      </x:c>
      <x:c r="G9" s="35" t="str">
        <x:v>AUTO — P1 INSTRUCTION
Stay with your teacher and class.
Shelter or move only as your teacher directs, then stay sa assigned safe area for headcount.</x:v>
      </x:c>
      <x:c r="H9" s="35" t="str">
        <x:v>Do not leave class, take a shortcut, go home alone, or touch school utilities.</x:v>
      </x:c>
      <x:c r="I9" s="43" t="str">
        <x:v>TYP-DUR-002</x:v>
      </x:c>
      <x:c r="J9" s="35" t="str">
        <x:v>TYP-S-D02</x:v>
      </x:c>
      <x:c r="K9" s="35" t="str">
        <x:v>NEEDS SCHOOL CONFIG</x:v>
      </x:c>
    </x:row>
    <x:row r="10" ht="72" customHeight="1">
      <x:c r="A10" s="95" t="str">
        <x:v>TYP-S-D02</x:v>
      </x:c>
      <x:c r="B10" s="97" t="str">
        <x:v>DURING</x:v>
      </x:c>
      <x:c r="C10" s="35" t="str">
        <x:v>Stay away from windows</x:v>
      </x:c>
      <x:c r="D10" s="35" t="str">
        <x:v>The class shelters inside SCHOOL_SAFE_ROOM_A while rain and wind continue.</x:v>
      </x:c>
      <x:c r="E10" s="35" t="str">
        <x:v>current_shelter_approved=true; location_type=indoors; zone=SCHOOL_SAFE_ROOM_A</x:v>
      </x:c>
      <x:c r="F10" s="35" t="str">
        <x:v>Stay with the class away from windows and listen to the teacher.</x:v>
      </x:c>
      <x:c r="G10" s="35" t="str">
        <x:v>AUTO — P1 SAFETY
Stay in the safe area away from windows.
Remain calm and listen to your teacher, guardian, or verified update. Follow the evacuation order kung meron.</x:v>
      </x:c>
      <x:c r="H10" s="35" t="str">
        <x:v>No window-watching, outdoor recording, or self-selected movement.</x:v>
      </x:c>
      <x:c r="I10" s="43" t="str">
        <x:v>TYP-DUR-001</x:v>
      </x:c>
      <x:c r="J10" s="35" t="str">
        <x:v>TYP-S-D03</x:v>
      </x:c>
      <x:c r="K10" s="35" t="str">
        <x:v>NEEDS SCHOOL CONFIG</x:v>
      </x:c>
    </x:row>
    <x:row r="11" ht="72" customHeight="1">
      <x:c r="A11" s="95" t="str">
        <x:v>TYP-S-D03</x:v>
      </x:c>
      <x:c r="B11" s="97" t="str">
        <x:v>DURING</x:v>
      </x:c>
      <x:c r="C11" s="35" t="str">
        <x:v>Treat a flooded corridor as blocked</x:v>
      </x:c>
      <x:c r="D11" s="35" t="str">
        <x:v>In a fixed story beat, water appears across TYP_ROUTE_A. The learner must stop rather than ‘navigate through’ it.</x:v>
      </x:c>
      <x:c r="E11" s="35" t="str">
        <x:v>floodwater_present=true; learner_approaches_floodwater=true; route_states={TYP_ROUTE_A:BLOCKED,TYP_ROUTE_B:OPEN}</x:v>
      </x:c>
      <x:c r="F11" s="35" t="str">
        <x:v>Stop, move back to the dry safe area, tell the teacher, and wait for Route B.</x:v>
      </x:c>
      <x:c r="G11" s="35" t="str">
        <x:v>AUTO — P0 SAFETY
Stop—do not enter the floodwater.
Move back to the approved dry safe area, tell an adult na flooded ang route, at wait for a new route.</x:v>
      </x:c>
      <x:c r="H11" s="35" t="str">
        <x:v>Never walk, wade, swim, play, or use water depth as proof that crossing is safe.</x:v>
      </x:c>
      <x:c r="I11" s="43" t="str">
        <x:v>TYP-DUR-004</x:v>
      </x:c>
      <x:c r="J11" s="35" t="str">
        <x:v>TYP-S-D04</x:v>
      </x:c>
      <x:c r="K11" s="35" t="str">
        <x:v>NEEDS SCHOOL CONFIG</x:v>
      </x:c>
    </x:row>
    <x:row r="12" ht="72" customHeight="1">
      <x:c r="A12" s="95" t="str">
        <x:v>TYP-S-D04</x:v>
      </x:c>
      <x:c r="B12" s="97" t="str">
        <x:v>DURING</x:v>
      </x:c>
      <x:c r="C12" s="35" t="str">
        <x:v>Follow the approved dry alternate</x:v>
      </x:c>
      <x:c r="D12" s="35" t="str">
        <x:v>The teacher leads the class through the preconfigured dry TYP_ROUTE_B.</x:v>
      </x:c>
      <x:c r="E12" s="35" t="str">
        <x:v>trusted_safe_route_available=true; safe_route_id=TYP_ROUTE_B</x:v>
      </x:c>
      <x:c r="F12" s="35" t="str">
        <x:v>Stay with the class and reach SCHOOL_SAFE_ROOM_B/assembly zone.</x:v>
      </x:c>
      <x:c r="G12" s="35" t="str">
        <x:v>AUTO — DETERMINISTIC ROUTE GUARD
Stay with your teacher and class.
Shelter or move only as your teacher directs, then stay sa assigned safe area for headcount.</x:v>
      </x:c>
      <x:c r="H12" s="35" t="str">
        <x:v>If no dry approved route is available, fail closed and remain with the teacher.</x:v>
      </x:c>
      <x:c r="I12" s="43" t="str">
        <x:v>TYP-DUR-002</x:v>
      </x:c>
      <x:c r="J12" s="35" t="str">
        <x:v>TYP-S-A01</x:v>
      </x:c>
      <x:c r="K12" s="35" t="str">
        <x:v>NEEDS SCHOOL CONFIG</x:v>
      </x:c>
    </x:row>
    <x:row r="13" ht="72" customHeight="1">
      <x:c r="A13" s="95" t="str">
        <x:v>TYP-S-A01</x:v>
      </x:c>
      <x:c r="B13" s="97" t="str">
        <x:v>AFTER</x:v>
      </x:c>
      <x:c r="C13" s="35" t="str">
        <x:v>Wait for official clearance</x:v>
      </x:c>
      <x:c r="D13" s="35" t="str">
        <x:v>The rain weakens, but the school has not received a verified clearance.</x:v>
      </x:c>
      <x:c r="E13" s="35" t="str">
        <x:v>phase=after; official_clearance_received=false; at_safe_zone=true</x:v>
      </x:c>
      <x:c r="F13" s="35" t="str">
        <x:v>Remain with the class in the approved safe area.</x:v>
      </x:c>
      <x:c r="G13" s="35" t="str">
        <x:v>AUTO — P1 INSTRUCTION
Wait for official clearance.
Stay sa approved safe area until an authority, teacher, or guardian confirms na safe ang route.</x:v>
      </x:c>
      <x:c r="H13" s="35" t="str">
        <x:v>No self-release, return to classroom, or exploration.</x:v>
      </x:c>
      <x:c r="I13" s="43" t="str">
        <x:v>TYP-AFT-001</x:v>
      </x:c>
      <x:c r="J13" s="35" t="str">
        <x:v>TYP-S-A02</x:v>
      </x:c>
      <x:c r="K13" s="35" t="str">
        <x:v>NEEDS SCHOOL CONFIG</x:v>
      </x:c>
    </x:row>
    <x:row r="14" ht="72" customHeight="1">
      <x:c r="A14" s="95" t="str">
        <x:v>TYP-S-A02</x:v>
      </x:c>
      <x:c r="B14" s="97" t="str">
        <x:v>AFTER</x:v>
      </x:c>
      <x:c r="C14" s="35" t="str">
        <x:v>Answer headcount and move to reunification point</x:v>
      </x:c>
      <x:c r="D14" s="35" t="str">
        <x:v>After verified clearance, the teacher completes headcount and leads the class to the configured release waiting area.</x:v>
      </x:c>
      <x:c r="E14" s="35" t="str">
        <x:v>headcount_active=true; official_clearance_received=true; safe_zone_id=REUNIFICATION_WAIT_A</x:v>
      </x:c>
      <x:c r="F14" s="35" t="str">
        <x:v>Stay with the class, answer the teacher, and move only on the approved route.</x:v>
      </x:c>
      <x:c r="G14" s="35" t="str">
        <x:v>ON QUESTION / CONFIRM
Stay with your class for reunification.
Answer headcount and leave only through the school's approved release process.</x:v>
      </x:c>
      <x:c r="H14" s="35" t="str">
        <x:v>The learner does not leave school alone or go back for belongings.</x:v>
      </x:c>
      <x:c r="I14" s="43" t="str">
        <x:v>TYP-AFT-003</x:v>
      </x:c>
      <x:c r="J14" s="35" t="str">
        <x:v>TYP-S-A03</x:v>
      </x:c>
      <x:c r="K14" s="35" t="str">
        <x:v>NEEDS SCHOOL CONFIG</x:v>
      </x:c>
    </x:row>
    <x:row r="15" ht="72" customHeight="1">
      <x:c r="A15" s="95" t="str">
        <x:v>TYP-S-A03</x:v>
      </x:c>
      <x:c r="B15" s="97" t="str">
        <x:v>AFTER</x:v>
      </x:c>
      <x:c r="C15" s="35" t="str">
        <x:v>Wait for staff-controlled release</x:v>
      </x:c>
      <x:c r="D15" s="35" t="str">
        <x:v>A designated staff NPC controls release. The scenario uses fictional authorization only.</x:v>
      </x:c>
      <x:c r="E15" s="35" t="str">
        <x:v>reunification_authorized=false; at_safe_zone=true</x:v>
      </x:c>
      <x:c r="F15" s="35" t="str">
        <x:v>Remain with staff until the separate approved release process completes.</x:v>
      </x:c>
      <x:c r="G15" s="35" t="str">
        <x:v>ON QUESTION / CONFIRM
Stay with your class for reunification.
Answer headcount and leave only through the school's approved release process.</x:v>
      </x:c>
      <x:c r="H15" s="35" t="str">
        <x:v>Learner speech, guardian speech, an alarm, headcount, or CALM cannot authorize release.</x:v>
      </x:c>
      <x:c r="I15" s="43" t="str">
        <x:v>TYP-AFT-003</x:v>
      </x:c>
      <x:c r="J15" s="35" t="str">
        <x:v>TYP-S-A04</x:v>
      </x:c>
      <x:c r="K15" s="35" t="str">
        <x:v>NEEDS SCHOOL CONFIG</x:v>
      </x:c>
    </x:row>
    <x:row r="16" ht="72" customHeight="1">
      <x:c r="A16" s="95" t="str">
        <x:v>TYP-S-A04</x:v>
      </x:c>
      <x:c r="B16" s="97" t="str">
        <x:v>AFTER</x:v>
      </x:c>
      <x:c r="C16" s="35" t="str">
        <x:v>Report debris or wet electrical hazards</x:v>
      </x:c>
      <x:c r="D16" s="35" t="str">
        <x:v>A damaged/wet utility prop is visible beyond a safety boundary.</x:v>
      </x:c>
      <x:c r="E16" s="35" t="str">
        <x:v>downed_line_or_wet_electrical_hazard=true; learner_action=notice_hazard</x:v>
      </x:c>
      <x:c r="F16" s="35" t="str">
        <x:v>Step away and tell the teacher/responder.</x:v>
      </x:c>
      <x:c r="G16" s="35" t="str">
        <x:v>AUTO — P1 CORRECTION
Step away and leave repair to adults.
Report the damaged, wet, or dirty area and do not touch utilities, tools, debris, or floodwater.</x:v>
      </x:c>
      <x:c r="H16" s="35" t="str">
        <x:v>No switches, outlets, appliances, wires, floodwater, cleanup, tools, or repairs.</x:v>
      </x:c>
      <x:c r="I16" s="43" t="str">
        <x:v>TYP-AFT-006</x:v>
      </x:c>
      <x:c r="J16" s="35" t="str">
        <x:v>TYP-S-END</x:v>
      </x:c>
      <x:c r="K16" s="35" t="str">
        <x:v>NEEDS SCHOOL CONFIG</x:v>
      </x:c>
    </x:row>
    <x:row r="17" ht="72" customHeight="1">
      <x:c r="A17" s="95" t="str">
        <x:v>TYP-S-END</x:v>
      </x:c>
      <x:c r="B17" s="97" t="str">
        <x:v>AFTER</x:v>
      </x:c>
      <x:c r="C17" s="35" t="str">
        <x:v>Complete with the class</x:v>
      </x:c>
      <x:c r="D17" s="35" t="str">
        <x:v>The mission ends in the school’s controlled waiting area.</x:v>
      </x:c>
      <x:c r="E17" s="35" t="str">
        <x:v>mission_complete=true; at_safe_zone=true</x:v>
      </x:c>
      <x:c r="F17" s="35" t="str">
        <x:v>End without storing guardian identity or a real child roster.</x:v>
      </x:c>
      <x:c r="G17" s="35" t="str">
        <x:v>SILENT / OPTIONAL SUMMARY
Stay with your class for reunification.
Answer headcount and leave only through the school's approved release process.</x:v>
      </x:c>
      <x:c r="H17" s="35" t="str">
        <x:v>Dashboard logs only non-identifying state/protocol events.</x:v>
      </x:c>
      <x:c r="I17" s="43" t="str">
        <x:v>TYP-AFT-003</x:v>
      </x:c>
      <x:c r="J17" s="35" t="str">
        <x:v>END</x:v>
      </x:c>
      <x:c r="K17" s="35" t="str">
        <x:v>NEEDS SCHOOL CONFIG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7">
    <x:cfRule type="containsText" dxfId="42" priority="1" operator="containsText" text="PROTOTYPE"/>
    <x:cfRule type="containsText" dxfId="43" priority="2" operator="containsText" text="READY"/>
    <x:cfRule type="containsText" dxfId="44" priority="3" operator="containsText" text="SCHOOL CONFIG"/>
    <x:cfRule type="containsText" dxfId="45" priority="4" operator="containsText" text="EXTERNAL"/>
    <x:cfRule type="containsText" dxfId="46" priority="5" operator="containsText" text="BFP/LDRRMO"/>
    <x:cfRule type="containsText" dxfId="47" priority="6" operator="containsText" text="TEAM REVIEW"/>
  </x:conditionalFormatting>
  <x:dataValidations count="1">
    <x:dataValidation type="list" sqref="K7:K17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80237a94c945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2" hidden="0" customWidth="1"/>
    <x:col min="5" max="5" width="37" hidden="0" customWidth="1"/>
    <x:col min="6" max="6" width="34" hidden="0" customWidth="1"/>
    <x:col min="7" max="7" width="43" hidden="0" customWidth="1"/>
    <x:col min="8" max="8" width="38" hidden="0" customWidth="1"/>
    <x:col min="9" max="9" width="20" hidden="0" customWidth="1"/>
    <x:col min="10" max="10" width="16" hidden="0" customWidth="1"/>
    <x:col min="11" max="11" width="24" hidden="0" customWidth="1"/>
  </x:cols>
  <x:sheetData>
    <x:row r="1" ht="34" customHeight="1">
      <x:c r="A1" s="74" t="str">
        <x:v>TYPHOON · OUTDOOR · LINEAR MISSION STORYBOARD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 ht="34" customHeight="1">
      <x:c r="A2" s="9" t="str">
        <x:v>Stop outdoor activity before conditions worsen, follow a responsible adult to approved shelter, and avoid water, trees, poles, and wires.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54" customHeight="1">
      <x:c r="A3" s="78" t="str">
        <x:v>STATUS
STORY DRAFT — NOT YET IN UNITY</x:v>
      </x:c>
      <x:c r="B3" s="78"/>
      <x:c r="C3" s="78" t="str">
        <x:v>EXPERIENCE
First-person · single-user · linear</x:v>
      </x:c>
      <x:c r="D3" s="78"/>
      <x:c r="E3" s="78" t="str">
        <x:v>AUTHORITY
Responsible-adult NPC + authenticated weather/route state</x:v>
      </x:c>
      <x:c r="F3" s="78"/>
      <x:c r="G3" s="78" t="str">
        <x:v>LANGUAGE
Taglish draft shown; EN/FIL packs remain linked</x:v>
      </x:c>
      <x:c r="H3" s="78"/>
      <x:c r="I3" s="78" t="str">
        <x:v>LINEAR RULE
Unsafe choice → pause → calm correction → retry</x:v>
      </x:c>
      <x:c r="J3" s="78"/>
      <x:c r="K3" s="78"/>
    </x:row>
    <x:row r="4" ht="42" customHeight="1">
      <x:c r="A4" s="16" t="str">
        <x:v>CALM text below is pulled from the current reviewed Taglish card specification where available. P0/P1 wording stays deterministic; Unity owns objects, boundaries, routes, cues, NPC authority, success gates, and state transitions.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6" ht="40" customHeight="1">
      <x:c r="A6" s="89" t="str">
        <x:v>State ID</x:v>
      </x:c>
      <x:c r="B6" s="90" t="str">
        <x:v>Phase</x:v>
      </x:c>
      <x:c r="C6" s="90" t="str">
        <x:v>Action / objective</x:v>
      </x:c>
      <x:c r="D6" s="90" t="str">
        <x:v>Narrative / context</x:v>
      </x:c>
      <x:c r="E6" s="90" t="str">
        <x:v>Trusted VR context sent to CALM</x:v>
      </x:c>
      <x:c r="F6" s="90" t="str">
        <x:v>Learner success gate</x:v>
      </x:c>
      <x:c r="G6" s="90" t="str">
        <x:v>CALM intervention + Taglish line</x:v>
      </x:c>
      <x:c r="H6" s="90" t="str">
        <x:v>Unsafe attempt / must never happen</x:v>
      </x:c>
      <x:c r="I6" s="90" t="str">
        <x:v>Protocol ID</x:v>
      </x:c>
      <x:c r="J6" s="90" t="str">
        <x:v>Next state</x:v>
      </x:c>
      <x:c r="K6" s="91" t="str">
        <x:v>Review status</x:v>
      </x:c>
    </x:row>
    <x:row r="7" ht="72" customHeight="1">
      <x:c r="A7" s="94" t="str">
        <x:v>TYP-O-B01</x:v>
      </x:c>
      <x:c r="B7" s="96" t="str">
        <x:v>BEFORE</x:v>
      </x:c>
      <x:c r="C7" s="34" t="str">
        <x:v>Recognize a verified warning</x:v>
      </x:c>
      <x:c r="D7" s="34" t="str">
        <x:v>During supervised outdoor play, dark clouds appear and the adult receives a verified warning on an in-world display.</x:v>
      </x:c>
      <x:c r="E7" s="34" t="str">
        <x:v>setting=outdoor; phase=before; authenticated_update_present=true</x:v>
      </x:c>
      <x:c r="F7" s="34" t="str">
        <x:v>Choose the verified adult/display instruction rather than an unverified social post.</x:v>
      </x:c>
      <x:c r="G7" s="34" t="str">
        <x:v>ON QUESTION / CONFIRM
Use an official weather update.
Check PAGASA or the verified school, LGU, barangay, teacher, or guardian message. Ask an adult kung unclear.</x:v>
      </x:c>
      <x:c r="H7" s="34" t="str">
        <x:v>CALM does not claim the current TCWS or infer live safety from static documents.</x:v>
      </x:c>
      <x:c r="I7" s="42" t="str">
        <x:v>TYP-BEF-001</x:v>
      </x:c>
      <x:c r="J7" s="34" t="str">
        <x:v>TYP-O-B02</x:v>
      </x:c>
      <x:c r="K7" s="34" t="str">
        <x:v>NEEDS TEAM REVIEW</x:v>
      </x:c>
    </x:row>
    <x:row r="8" ht="72" customHeight="1">
      <x:c r="A8" s="95" t="str">
        <x:v>TYP-O-B02</x:v>
      </x:c>
      <x:c r="B8" s="97" t="str">
        <x:v>BEFORE</x:v>
      </x:c>
      <x:c r="C8" s="35" t="str">
        <x:v>Stop play and enter approved shelter early</x:v>
      </x:c>
      <x:c r="D8" s="35" t="str">
        <x:v>The responsible adult ends outdoor activity and points to the configured sturdy shelter route.</x:v>
      </x:c>
      <x:c r="E8" s="35" t="str">
        <x:v>responsible_adult_present=true; safe_route_id=OUT_TYP_ROUTE_A; safe_zone_id=STURDY_SHELTER_A</x:v>
      </x:c>
      <x:c r="F8" s="35" t="str">
        <x:v>Stop play, stay with the adult, and use the approved route before conditions worsen.</x:v>
      </x:c>
      <x:c r="G8" s="35" t="str">
        <x:v>AUTO — P1 INSTRUCTION
Go to the approved shelter with an adult.
Stop outdoor activity and use the approved route bago lumakas ang wind, rain, o floodwater.</x:v>
      </x:c>
      <x:c r="H8" s="35" t="str">
        <x:v>No storm-watching or shortcuts near rivers, coasts, trees, posts, or flood-prone areas.</x:v>
      </x:c>
      <x:c r="I8" s="43" t="str">
        <x:v>TYP-BEF-004</x:v>
      </x:c>
      <x:c r="J8" s="35" t="str">
        <x:v>TYP-O-D01</x:v>
      </x:c>
      <x:c r="K8" s="35" t="str">
        <x:v>NEEDS TEAM REVIEW</x:v>
      </x:c>
    </x:row>
    <x:row r="9" ht="72" customHeight="1">
      <x:c r="A9" s="95" t="str">
        <x:v>TYP-O-D01</x:v>
      </x:c>
      <x:c r="B9" s="97" t="str">
        <x:v>DURING</x:v>
      </x:c>
      <x:c r="C9" s="35" t="str">
        <x:v>Reach the approved sturdy shelter</x:v>
      </x:c>
      <x:c r="D9" s="35" t="str">
        <x:v>Rain/wind intensify while the adult leads the fixed route to STURDY_SHELTER_A.</x:v>
      </x:c>
      <x:c r="E9" s="35" t="str">
        <x:v>hazard_active=true; safe_route_id=OUT_TYP_ROUTE_A; current_shelter_approved=true</x:v>
      </x:c>
      <x:c r="F9" s="35" t="str">
        <x:v>Stay with the adult, follow the trusted route, and keep away from rivers, trees, posts, signs, wires, and water.</x:v>
      </x:c>
      <x:c r="G9" s="35" t="str">
        <x:v>AUTO — P0/P1 SAFETY
Stay with the adult and use the approved shelter route.
Keep away from floodwater, rivers, shores, trees, posts, signs, at power lines.</x:v>
      </x:c>
      <x:c r="H9" s="35" t="str">
        <x:v>Do not shelter under a tree, light structure, waiting shed, or tent unless explicitly approved.</x:v>
      </x:c>
      <x:c r="I9" s="43" t="str">
        <x:v>TYP-DUR-003</x:v>
      </x:c>
      <x:c r="J9" s="35" t="str">
        <x:v>TYP-O-D02</x:v>
      </x:c>
      <x:c r="K9" s="35" t="str">
        <x:v>NEEDS TEAM REVIEW</x:v>
      </x:c>
    </x:row>
    <x:row r="10" ht="72" customHeight="1">
      <x:c r="A10" s="95" t="str">
        <x:v>TYP-O-D02</x:v>
      </x:c>
      <x:c r="B10" s="97" t="str">
        <x:v>DURING</x:v>
      </x:c>
      <x:c r="C10" s="35" t="str">
        <x:v>Stop at floodwater or a fallen wire</x:v>
      </x:c>
      <x:c r="D10" s="35" t="str">
        <x:v>The primary path is scripted as flooded with a downed-line warning boundary; a preapproved dry alternate is available.</x:v>
      </x:c>
      <x:c r="E10" s="35" t="str">
        <x:v>floodwater_present=true; downed_line_or_wet_electrical_hazard=true; safe_route_id=OUT_TYP_ROUTE_B</x:v>
      </x:c>
      <x:c r="F10" s="35" t="str">
        <x:v>Stop, move back, tell the adult, and follow only OUT_TYP_ROUTE_B.</x:v>
      </x:c>
      <x:c r="G10" s="35" t="str">
        <x:v>AUTO — P0 SAFETY
Stop—do not enter the floodwater.
Move back to the approved dry safe area, tell an adult na flooded ang route, at wait for a new route.</x:v>
      </x:c>
      <x:c r="H10" s="35" t="str">
        <x:v>No wading, swimming, boating, touching a wire/post, or guessing that shallow water is safe.</x:v>
      </x:c>
      <x:c r="I10" s="43" t="str">
        <x:v>TYP-DUR-004 + TYP-DUR-005</x:v>
      </x:c>
      <x:c r="J10" s="35" t="str">
        <x:v>TYP-O-D03</x:v>
      </x:c>
      <x:c r="K10" s="35" t="str">
        <x:v>NEEDS TEAM REVIEW</x:v>
      </x:c>
    </x:row>
    <x:row r="11" ht="72" customHeight="1">
      <x:c r="A11" s="95" t="str">
        <x:v>TYP-O-D03</x:v>
      </x:c>
      <x:c r="B11" s="97" t="str">
        <x:v>DURING</x:v>
      </x:c>
      <x:c r="C11" s="35" t="str">
        <x:v>Stay inside the approved shelter</x:v>
      </x:c>
      <x:c r="D11" s="35" t="str">
        <x:v>The learner reaches STURDY_SHELTER_A with the adult while conditions continue.</x:v>
      </x:c>
      <x:c r="E11" s="35" t="str">
        <x:v>current_shelter_approved=true; at_safe_zone=true; hazard_active=true</x:v>
      </x:c>
      <x:c r="F11" s="35" t="str">
        <x:v>Remain inside with the adult and listen for verified updates.</x:v>
      </x:c>
      <x:c r="G11" s="35" t="str">
        <x:v>SILENT UNLESS ASKED
Stay with the adult and use the approved shelter route.
Keep away from floodwater, rivers, shores, trees, posts, signs, at power lines.</x:v>
      </x:c>
      <x:c r="H11" s="35" t="str">
        <x:v>Do not leave to continue the trip, record the storm, or explore.</x:v>
      </x:c>
      <x:c r="I11" s="43" t="str">
        <x:v>TYP-DUR-003</x:v>
      </x:c>
      <x:c r="J11" s="35" t="str">
        <x:v>TYP-O-A01</x:v>
      </x:c>
      <x:c r="K11" s="35" t="str">
        <x:v>NEEDS TEAM REVIEW</x:v>
      </x:c>
    </x:row>
    <x:row r="12" ht="72" customHeight="1">
      <x:c r="A12" s="95" t="str">
        <x:v>TYP-O-A01</x:v>
      </x:c>
      <x:c r="B12" s="97" t="str">
        <x:v>AFTER</x:v>
      </x:c>
      <x:c r="C12" s="35" t="str">
        <x:v>Remain sheltered without clearance</x:v>
      </x:c>
      <x:c r="D12" s="35" t="str">
        <x:v>Weather appears calmer, but no authenticated clearance has been received.</x:v>
      </x:c>
      <x:c r="E12" s="35" t="str">
        <x:v>phase=after; official_clearance_received=false; at_safe_zone=true</x:v>
      </x:c>
      <x:c r="F12" s="35" t="str">
        <x:v>Stay with the adult inside the approved shelter.</x:v>
      </x:c>
      <x:c r="G12" s="35" t="str">
        <x:v>AUTO — P1 INSTRUCTION
Stay in the approved shelter.
Remain with the responsible adult until an authority confirms na safe ang outdoor route.</x:v>
      </x:c>
      <x:c r="H12" s="35" t="str">
        <x:v>No return outdoors, travel, water crossing, or debris exploration.</x:v>
      </x:c>
      <x:c r="I12" s="43" t="str">
        <x:v>TYP-AFT-005</x:v>
      </x:c>
      <x:c r="J12" s="35" t="str">
        <x:v>TYP-O-A02</x:v>
      </x:c>
      <x:c r="K12" s="35" t="str">
        <x:v>NEEDS TEAM REVIEW</x:v>
      </x:c>
    </x:row>
    <x:row r="13" ht="72" customHeight="1">
      <x:c r="A13" s="95" t="str">
        <x:v>TYP-O-A02</x:v>
      </x:c>
      <x:c r="B13" s="97" t="str">
        <x:v>AFTER</x:v>
      </x:c>
      <x:c r="C13" s="35" t="str">
        <x:v>Move only on the confirmed cleared route</x:v>
      </x:c>
      <x:c r="D13" s="35" t="str">
        <x:v>A verified authority cue confirms the dry OUT_TYP_CLEAR_ROUTE_A.</x:v>
      </x:c>
      <x:c r="E13" s="35" t="str">
        <x:v>official_clearance_received=true; safe_route_id=OUT_TYP_CLEAR_ROUTE_A</x:v>
      </x:c>
      <x:c r="F13" s="35" t="str">
        <x:v>Follow the adult and keep distance from damaged areas.</x:v>
      </x:c>
      <x:c r="G13" s="35" t="str">
        <x:v>AUTO — P1 INSTRUCTION
Keep away from damaged areas.
Report the hazard to an adult or responder and use only a cleared route.</x:v>
      </x:c>
      <x:c r="H13" s="35" t="str">
        <x:v>No fallen trees, buildings, debris, wires, outlets, or standing water.</x:v>
      </x:c>
      <x:c r="I13" s="43" t="str">
        <x:v>TYP-AFT-002</x:v>
      </x:c>
      <x:c r="J13" s="35" t="str">
        <x:v>TYP-O-A03</x:v>
      </x:c>
      <x:c r="K13" s="35" t="str">
        <x:v>NEEDS TEAM REVIEW</x:v>
      </x:c>
    </x:row>
    <x:row r="14" ht="72" customHeight="1">
      <x:c r="A14" s="95" t="str">
        <x:v>TYP-O-A03</x:v>
      </x:c>
      <x:c r="B14" s="97" t="str">
        <x:v>AFTER</x:v>
      </x:c>
      <x:c r="C14" s="35" t="str">
        <x:v>Leave cleanup and repairs to adults</x:v>
      </x:c>
      <x:c r="D14" s="35" t="str">
        <x:v>A cleanup prop appears behind a non-interactive boundary.</x:v>
      </x:c>
      <x:c r="E14" s="35" t="str">
        <x:v>learner_action=attempt_cleanup; at_safe_zone=true</x:v>
      </x:c>
      <x:c r="F14" s="35" t="str">
        <x:v>Step away and tell the adult/responder what was noticed.</x:v>
      </x:c>
      <x:c r="G14" s="35" t="str">
        <x:v>AUTO — P1 CORRECTION
Step away and leave repair to adults.
Report the damaged, wet, or dirty area and do not touch utilities, tools, debris, or floodwater.</x:v>
      </x:c>
      <x:c r="H14" s="35" t="str">
        <x:v>No tools, utilities, roofs, trees, damaged structures, water, or contaminated food cleanup.</x:v>
      </x:c>
      <x:c r="I14" s="43" t="str">
        <x:v>TYP-AFT-006</x:v>
      </x:c>
      <x:c r="J14" s="35" t="str">
        <x:v>TYP-O-END</x:v>
      </x:c>
      <x:c r="K14" s="35" t="str">
        <x:v>NEEDS TEAM REVIEW</x:v>
      </x:c>
    </x:row>
    <x:row r="15" ht="72" customHeight="1">
      <x:c r="A15" s="95" t="str">
        <x:v>TYP-O-END</x:v>
      </x:c>
      <x:c r="B15" s="97" t="str">
        <x:v>AFTER</x:v>
      </x:c>
      <x:c r="C15" s="35" t="str">
        <x:v>Complete with the responsible adult</x:v>
      </x:c>
      <x:c r="D15" s="35" t="str">
        <x:v>The adult summarizes warning recognition, early shelter, blocked-route response, and safe waiting.</x:v>
      </x:c>
      <x:c r="E15" s="35" t="str">
        <x:v>mission_complete=true; at_safe_zone=true</x:v>
      </x:c>
      <x:c r="F15" s="35" t="str">
        <x:v>End in the approved safe area.</x:v>
      </x:c>
      <x:c r="G15" s="35" t="str">
        <x:v>SILENT / OPTIONAL SUMMARY
Stay in the approved shelter.
Remain with the responsible adult until an authority confirms na safe ang outdoor route.</x:v>
      </x:c>
      <x:c r="H15" s="35" t="str">
        <x:v>No precise real-world location or raw conversation storage.</x:v>
      </x:c>
      <x:c r="I15" s="43" t="str">
        <x:v>TYP-AFT-005</x:v>
      </x:c>
      <x:c r="J15" s="35" t="str">
        <x:v>END</x:v>
      </x:c>
      <x:c r="K15" s="35" t="str">
        <x:v>NEEDS TEAM REVIEW</x:v>
      </x:c>
    </x:row>
  </x:sheetData>
  <x:mergeCells>
    <x:mergeCell ref="A1:K1"/>
    <x:mergeCell ref="A2:K2"/>
    <x:mergeCell ref="A3:B3"/>
    <x:mergeCell ref="C3:D3"/>
    <x:mergeCell ref="E3:F3"/>
    <x:mergeCell ref="G3:H3"/>
    <x:mergeCell ref="I3:K3"/>
    <x:mergeCell ref="A4:K4"/>
  </x:mergeCells>
  <x:conditionalFormatting sqref="K7:K15">
    <x:cfRule type="containsText" dxfId="48" priority="1" operator="containsText" text="PROTOTYPE"/>
    <x:cfRule type="containsText" dxfId="49" priority="2" operator="containsText" text="READY"/>
    <x:cfRule type="containsText" dxfId="50" priority="3" operator="containsText" text="SCHOOL CONFIG"/>
    <x:cfRule type="containsText" dxfId="51" priority="4" operator="containsText" text="EXTERNAL"/>
    <x:cfRule type="containsText" dxfId="52" priority="5" operator="containsText" text="BFP/LDRRMO"/>
    <x:cfRule type="containsText" dxfId="53" priority="6" operator="containsText" text="TEAM REVIEW"/>
  </x:conditionalFormatting>
  <x:dataValidations count="1">
    <x:dataValidation type="list" sqref="K7:K15">
      <x:formula1>"NEEDS TEAM REVIEW,NEEDS SCHOOL CONFIG,NEEDS EXTERNAL REVIEW,NEEDS BFP/LDRRMO REVIEW,PROTOTYPE MAPPED,READY FOR UNITY"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9a00b66eb46a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45" hidden="0" customWidth="1"/>
    <x:col min="4" max="4" width="55" hidden="0" customWidth="1"/>
    <x:col min="5" max="5" width="28" hidden="0" customWidth="1"/>
  </x:cols>
  <x:sheetData>
    <x:row r="1" ht="34" customHeight="1">
      <x:c r="A1" s="4" t="str">
        <x:v>AUDIT OF THE SUPPLIED EARTHQUAKE STORYBOARD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Keep the classroom idea; replace collectible-item, injury, and trapping mechanics with immediate protection and calm deterministic correction.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>
      <x:c r="A4" s="175" t="str">
        <x:v>Existing mechanic</x:v>
      </x:c>
      <x:c r="B4" s="175" t="str">
        <x:v>Decision</x:v>
      </x:c>
      <x:c r="C4" s="175" t="str">
        <x:v>Why it is a problem</x:v>
      </x:c>
      <x:c r="D4" s="175" t="str">
        <x:v>Approved redesign direction</x:v>
      </x:c>
      <x:c r="E4" s="175" t="str">
        <x:v>Primary protocol / owner</x:v>
      </x:c>
    </x:row>
    <x:row r="5" ht="64" customHeight="1">
      <x:c r="A5" s="34" t="str">
        <x:v>‘Ceiling fan not working’</x:v>
      </x:c>
      <x:c r="B5" s="127" t="str">
        <x:v>REFRAME</x:v>
      </x:c>
      <x:c r="C5" s="34" t="str">
        <x:v>A broken fan is not automatically an earthquake hazard.</x:v>
      </x:c>
      <x:c r="D5" s="34" t="str">
        <x:v>Show an unsecured heavy/hanging object; learner steps away and tells the teacher.</x:v>
      </x:c>
      <x:c r="E5" s="34" t="str">
        <x:v>EQ-BEF-003</x:v>
      </x:c>
    </x:row>
    <x:row r="6" ht="64" customHeight="1">
      <x:c r="A6" s="35" t="str">
        <x:v>Put a book on the head</x:v>
      </x:c>
      <x:c r="B6" s="128" t="str">
        <x:v>REMOVE</x:v>
      </x:c>
      <x:c r="C6" s="35" t="str">
        <x:v>Searching for a book delays immediate protection.</x:v>
      </x:c>
      <x:c r="D6" s="35" t="str">
        <x:v>Use arms to protect the head/neck and the nearest approved sturdy cover.</x:v>
      </x:c>
      <x:c r="E6" s="35" t="str">
        <x:v>EQ-DUR-001</x:v>
      </x:c>
    </x:row>
    <x:row r="7" ht="64" customHeight="1">
      <x:c r="A7" s="35" t="str">
        <x:v>Find and wear a hard hat</x:v>
      </x:c>
      <x:c r="B7" s="128" t="str">
        <x:v>REMOVE</x:v>
      </x:c>
      <x:c r="C7" s="35" t="str">
        <x:v>A hard hat is not a substitute for Drop, Cover, and Hold On and requires unsafe movement.</x:v>
      </x:c>
      <x:c r="D7" s="35" t="str">
        <x:v>Do not include unless already worn under a separately reviewed procedure.</x:v>
      </x:c>
      <x:c r="E7" s="35" t="str">
        <x:v>EQ-DUR-001</x:v>
      </x:c>
    </x:row>
    <x:row r="8" ht="64" customHeight="1">
      <x:c r="A8" s="35" t="str">
        <x:v>Get the go-bag during shaking</x:v>
      </x:c>
      <x:c r="B8" s="128" t="str">
        <x:v>REMOVE</x:v>
      </x:c>
      <x:c r="C8" s="35" t="str">
        <x:v>Directly conflicts with the no-belongings rule.</x:v>
      </x:c>
      <x:c r="D8" s="35" t="str">
        <x:v>Bag remains non-interactive during shaking and evacuation.</x:v>
      </x:c>
      <x:c r="E8" s="35" t="str">
        <x:v>EQ-DUR-001 / EQ-AFT-001</x:v>
      </x:c>
    </x:row>
    <x:row r="9" ht="64" customHeight="1">
      <x:c r="A9" s="35" t="str">
        <x:v>Choose student’s vs teacher’s table</x:v>
      </x:c>
      <x:c r="B9" s="128" t="str">
        <x:v>REFRAME</x:v>
      </x:c>
      <x:c r="C9" s="35" t="str">
        <x:v>May encourage crossing the classroom to a table that sounds more correct.</x:v>
      </x:c>
      <x:c r="D9" s="35" t="str">
        <x:v>Use the nearest prevalidated sturdy desk/table, regardless of ownership.</x:v>
      </x:c>
      <x:c r="E9" s="35" t="str">
        <x:v>EQ-DUR-001 / EQ-DUR-002</x:v>
      </x:c>
    </x:row>
    <x:row r="10" ht="64" customHeight="1">
      <x:c r="A10" s="35" t="str">
        <x:v>Go to another room/open area while shaking</x:v>
      </x:c>
      <x:c r="B10" s="128" t="str">
        <x:v>KEEP AS CORRECTION TRIGGER</x:v>
      </x:c>
      <x:c r="C10" s="35" t="str">
        <x:v>Useful as a detectable unsafe attempt, but not as a valid path.</x:v>
      </x:c>
      <x:c r="D10" s="35" t="str">
        <x:v>Soft boundary, pause, CALM correction, safe rewind, retry.</x:v>
      </x:c>
      <x:c r="E10" s="35" t="str">
        <x:v>EQ-DUR-003 + Unity</x:v>
      </x:c>
    </x:row>
    <x:row r="11" ht="64" customHeight="1">
      <x:c r="A11" s="35" t="str">
        <x:v>Debris hits learner / learner gets trapped</x:v>
      </x:c>
      <x:c r="B11" s="128" t="str">
        <x:v>REMOVE</x:v>
      </x:c>
      <x:c r="C11" s="35" t="str">
        <x:v>Punitive, distressing, and creates divergent outcomes.</x:v>
      </x:c>
      <x:c r="D11" s="35" t="str">
        <x:v>No graphic harm; use calm cause-and-effect explanation and retry.</x:v>
      </x:c>
      <x:c r="E11" s="35" t="str">
        <x:v>Child-safety rule + linear scope</x:v>
      </x:c>
    </x:row>
    <x:row r="12" ht="64" customHeight="1">
      <x:c r="A12" s="35" t="str">
        <x:v>Whistle unlocked by collecting go-bag</x:v>
      </x:c>
      <x:c r="B12" s="128" t="str">
        <x:v>REMOVE FROM MVP</x:v>
      </x:c>
      <x:c r="C12" s="35" t="str">
        <x:v>Incentivizes unsafe retrieval and lacks a complete child trapped-person scenario.</x:v>
      </x:c>
      <x:c r="D12" s="35" t="str">
        <x:v>Consider only in a future separately reviewed protocol; never search for it during shaking.</x:v>
      </x:c>
      <x:c r="E12" s="35" t="str">
        <x:v>Team + domain reviewer</x:v>
      </x:c>
    </x:row>
    <x:row r="13" ht="64" customHeight="1">
      <x:c r="A13" s="35" t="str">
        <x:v>Intermittent earthquake alarm</x:v>
      </x:c>
      <x:c r="B13" s="128" t="str">
        <x:v>REPLACE PLACEHOLDER</x:v>
      </x:c>
      <x:c r="C13" s="35" t="str">
        <x:v>Suggests a universal signal when school cues are local.</x:v>
      </x:c>
      <x:c r="D13" s="35" t="str">
        <x:v>Use SIM_EQ_SHAKING_CUE for development; replace with school-reviewed cue ID.</x:v>
      </x:c>
      <x:c r="E13" s="35" t="str">
        <x:v>School profile</x:v>
      </x:c>
    </x:row>
    <x:row r="14" ht="64" customHeight="1">
      <x:c r="A14" s="35" t="str">
        <x:v>Aftershock as falling-object dodging</x:v>
      </x:c>
      <x:c r="B14" s="128" t="str">
        <x:v>REPLACE</x:v>
      </x:c>
      <x:c r="C14" s="35" t="str">
        <x:v>The safe response is to stop and protect again.</x:v>
      </x:c>
      <x:c r="D14" s="35" t="str">
        <x:v>Aftershock becomes a highest-priority state override.</x:v>
      </x:c>
      <x:c r="E14" s="35" t="str">
        <x:v>EQ-AFT-006</x:v>
      </x:c>
    </x:row>
    <x:row r="15" ht="64" customHeight="1">
      <x:c r="A15" s="35" t="str">
        <x:v>‘Okay class pumila kayo’ then free movement</x:v>
      </x:c>
      <x:c r="B15" s="128" t="str">
        <x:v>EXPAND</x:v>
      </x:c>
      <x:c r="C15" s="35" t="str">
        <x:v>Missing authenticated teacher instruction, route state, assembly assignment, and no-running rule.</x:v>
      </x:c>
      <x:c r="D15" s="35" t="str">
        <x:v>Teacher cue → configured open route → assembly → headcount.</x:v>
      </x:c>
      <x:c r="E15" s="35" t="str">
        <x:v>EQ-AFT-001 / 007 / 008</x:v>
      </x:c>
    </x:row>
    <x:row r="16" ht="64" customHeight="1">
      <x:c r="A16" s="121" t="str">
        <x:v>‘AUDIO FILE’ as outcome</x:v>
      </x:c>
      <x:c r="B16" s="129" t="str">
        <x:v>REPLACE</x:v>
      </x:c>
      <x:c r="C16" s="121" t="str">
        <x:v>Does not define success, state, or software behavior.</x:v>
      </x:c>
      <x:c r="D16" s="121" t="str">
        <x:v>Specify exact line, locomotion permission, animation, protocol/event log, success gate, and next state.</x:v>
      </x:c>
      <x:c r="E16" s="121" t="str">
        <x:v>Unity + CALM contract</x:v>
      </x:c>
    </x:row>
    <x:row r="18">
      <x:c r="A18" s="177" t="str">
        <x:v>Linear mission clarification: correction triggers are not branching narratives. Every learner returns to the same objective and reaches the same approved ending; the system logs the attempt for UAT without simulating injury.</x:v>
      </x:c>
      <x:c r="B18" s="177"/>
      <x:c r="C18" s="177"/>
      <x:c r="D18" s="177"/>
      <x:c r="E18" s="177"/>
    </x:row>
    <x:row r="19">
      <x:c r="A19" s="177"/>
      <x:c r="B19" s="177"/>
      <x:c r="C19" s="177"/>
      <x:c r="D19" s="177"/>
      <x:c r="E19" s="177"/>
    </x:row>
  </x:sheetData>
  <x:mergeCells>
    <x:mergeCell ref="A1:K1"/>
    <x:mergeCell ref="A2:K2"/>
    <x:mergeCell ref="A18:E19"/>
  </x:mergeCells>
  <x:conditionalFormatting sqref="B5:B16">
    <x:cfRule type="containsText" dxfId="66" priority="1" operator="containsText" text="REMOVE"/>
    <x:cfRule type="containsText" dxfId="67" priority="2" operator="containsText" text="REFRAME"/>
    <x:cfRule type="containsText" dxfId="68" priority="3" operator="containsText" text="KEEP"/>
    <x:cfRule type="containsText" dxfId="69" priority="4" operator="containsText" text="REPLAC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42" hidden="0" customWidth="1"/>
    <x:col min="4" max="4" width="48" hidden="0" customWidth="1"/>
    <x:col min="5" max="5" width="48" hidden="0" customWidth="1"/>
    <x:col min="6" max="6" width="30" hidden="0" customWidth="1"/>
    <x:col min="7" max="7" width="28" hidden="0" customWidth="1"/>
    <x:col min="8" max="8" width="26" hidden="0" customWidth="1"/>
  </x:cols>
  <x:sheetData>
    <x:row r="1" ht="34" customHeight="1">
      <x:c r="A1" s="101" t="str">
        <x:v>OPEN DECISIONS BEFORE THE STORYBOARDS ARE ‘FINAL’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</x:row>
    <x:row r="2" ht="34" customHeight="1">
      <x:c r="A2" s="9" t="str">
        <x:v>The thesis team can approve narrative choices; school-specific and domain-specific safety values need the named authority.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>
      <x:c r="A4" s="126" t="str">
        <x:v>ID</x:v>
      </x:c>
      <x:c r="B4" s="126" t="str">
        <x:v>Priority</x:v>
      </x:c>
      <x:c r="C4" s="126" t="str">
        <x:v>Decision needed</x:v>
      </x:c>
      <x:c r="D4" s="126" t="str">
        <x:v>Why it matters</x:v>
      </x:c>
      <x:c r="E4" s="126" t="str">
        <x:v>Proposed default for prototype</x:v>
      </x:c>
      <x:c r="F4" s="126" t="str">
        <x:v>Owner / reviewer</x:v>
      </x:c>
      <x:c r="G4" s="126" t="str">
        <x:v>Blocks</x:v>
      </x:c>
      <x:c r="H4" s="126" t="str">
        <x:v>Status</x:v>
      </x:c>
    </x:row>
    <x:row r="5" ht="62" customHeight="1">
      <x:c r="A5" s="122" t="str">
        <x:v>DEC-01</x:v>
      </x:c>
      <x:c r="B5" s="122" t="str">
        <x:v>P0</x:v>
      </x:c>
      <x:c r="C5" s="34" t="str">
        <x:v>Approve nine linear missions as the interpretation of scope.</x:v>
      </x:c>
      <x:c r="D5" s="34" t="str">
        <x:v>Manuscript describes 3 hazards × Home/School/Outdoor × Before/During/After.</x:v>
      </x:c>
      <x:c r="E5" s="34" t="str">
        <x:v>Use nine mission variants and 27 phase segments.</x:v>
      </x:c>
      <x:c r="F5" s="34" t="str">
        <x:v>Thesis team + adviser</x:v>
      </x:c>
      <x:c r="G5" s="34" t="str">
        <x:v>All story work</x:v>
      </x:c>
      <x:c r="H5" s="34" t="str">
        <x:v>PROPOSED</x:v>
      </x:c>
    </x:row>
    <x:row r="6" ht="62" customHeight="1">
      <x:c r="A6" s="123" t="str">
        <x:v>DEC-02</x:v>
      </x:c>
      <x:c r="B6" s="123" t="str">
        <x:v>P0</x:v>
      </x:c>
      <x:c r="C6" s="35" t="str">
        <x:v>Approve EQ School as the first vertical slice.</x:v>
      </x:c>
      <x:c r="D6" s="35" t="str">
        <x:v>It already has a working context-aware API slice and demonstrates the full contribution.</x:v>
      </x:c>
      <x:c r="E6" s="35" t="str">
        <x:v>Build this before any other Unity mission.</x:v>
      </x:c>
      <x:c r="F6" s="35" t="str">
        <x:v>Thesis team + adviser</x:v>
      </x:c>
      <x:c r="G6" s="35" t="str">
        <x:v>Unity build order</x:v>
      </x:c>
      <x:c r="H6" s="35" t="str">
        <x:v>PROPOSED</x:v>
      </x:c>
    </x:row>
    <x:row r="7" ht="62" customHeight="1">
      <x:c r="A7" s="123" t="str">
        <x:v>DEC-03</x:v>
      </x:c>
      <x:c r="B7" s="123" t="str">
        <x:v>P0</x:v>
      </x:c>
      <x:c r="C7" s="35" t="str">
        <x:v>Approve correction loops instead of injury/trapping outcomes.</x:v>
      </x:c>
      <x:c r="D7" s="35" t="str">
        <x:v>Maintains child safety and the manuscript’s no-branching delimitation.</x:v>
      </x:c>
      <x:c r="E7" s="35" t="str">
        <x:v>Pause → one calm correction → safe rewind → retry.</x:v>
      </x:c>
      <x:c r="F7" s="35" t="str">
        <x:v>Thesis team + adviser</x:v>
      </x:c>
      <x:c r="G7" s="35" t="str">
        <x:v>All unsafe choices</x:v>
      </x:c>
      <x:c r="H7" s="35" t="str">
        <x:v>PROPOSED</x:v>
      </x:c>
    </x:row>
    <x:row r="8" ht="62" customHeight="1">
      <x:c r="A8" s="123" t="str">
        <x:v>DEC-04</x:v>
      </x:c>
      <x:c r="B8" s="123" t="str">
        <x:v>P0</x:v>
      </x:c>
      <x:c r="C8" s="35" t="str">
        <x:v>Name exact school alarm/cue IDs and meanings.</x:v>
      </x:c>
      <x:c r="D8" s="35" t="str">
        <x:v>CALM cannot infer local signals from national manuals.</x:v>
      </x:c>
      <x:c r="E8" s="35" t="str">
        <x:v>Use SIM_* placeholders only during development.</x:v>
      </x:c>
      <x:c r="F8" s="35" t="str">
        <x:v>School head + DRRM coordinator</x:v>
      </x:c>
      <x:c r="G8" s="35" t="str">
        <x:v>School missions</x:v>
      </x:c>
      <x:c r="H8" s="35" t="str">
        <x:v>NEEDS SCHOOL INPUT</x:v>
      </x:c>
    </x:row>
    <x:row r="9" ht="62" customHeight="1">
      <x:c r="A9" s="123" t="str">
        <x:v>DEC-05</x:v>
      </x:c>
      <x:c r="B9" s="123" t="str">
        <x:v>P0</x:v>
      </x:c>
      <x:c r="C9" s="35" t="str">
        <x:v>Provide primary/alternate route IDs and route-state rules.</x:v>
      </x:c>
      <x:c r="D9" s="35" t="str">
        <x:v>Blocked, closed, unknown, or missing routes must fail closed.</x:v>
      </x:c>
      <x:c r="E9" s="35" t="str">
        <x:v>Synthetic Route A/B in prototype.</x:v>
      </x:c>
      <x:c r="F9" s="35" t="str">
        <x:v>School head + DRRM coordinator</x:v>
      </x:c>
      <x:c r="G9" s="35" t="str">
        <x:v>School missions</x:v>
      </x:c>
      <x:c r="H9" s="35" t="str">
        <x:v>NEEDS SCHOOL INPUT</x:v>
      </x:c>
    </x:row>
    <x:row r="10" ht="62" customHeight="1">
      <x:c r="A10" s="123" t="str">
        <x:v>DEC-06</x:v>
      </x:c>
      <x:c r="B10" s="123" t="str">
        <x:v>P0</x:v>
      </x:c>
      <x:c r="C10" s="35" t="str">
        <x:v>Provide school safe-room, assembly, and reunification waiting-area IDs.</x:v>
      </x:c>
      <x:c r="D10" s="35" t="str">
        <x:v>These are deterministic deployment configuration, not RAG facts.</x:v>
      </x:c>
      <x:c r="E10" s="35" t="str">
        <x:v>Synthetic zones for VR development.</x:v>
      </x:c>
      <x:c r="F10" s="35" t="str">
        <x:v>School head + DRRM coordinator</x:v>
      </x:c>
      <x:c r="G10" s="35" t="str">
        <x:v>School fire/typhoon/earthquake</x:v>
      </x:c>
      <x:c r="H10" s="35" t="str">
        <x:v>NEEDS SCHOOL INPUT</x:v>
      </x:c>
    </x:row>
    <x:row r="11" ht="62" customHeight="1">
      <x:c r="A11" s="123" t="str">
        <x:v>DEC-07</x:v>
      </x:c>
      <x:c r="B11" s="123" t="str">
        <x:v>P0</x:v>
      </x:c>
      <x:c r="C11" s="35" t="str">
        <x:v>Approve staff-controlled reunification flow.</x:v>
      </x:c>
      <x:c r="D11" s="35" t="str">
        <x:v>Neither learner speech nor CALM may authorize release.</x:v>
      </x:c>
      <x:c r="E11" s="35" t="str">
        <x:v>End mission while child remains with staff; do not simulate identity verification yet.</x:v>
      </x:c>
      <x:c r="F11" s="35" t="str">
        <x:v>School administration</x:v>
      </x:c>
      <x:c r="G11" s="35" t="str">
        <x:v>Typhoon school + dashboard</x:v>
      </x:c>
      <x:c r="H11" s="35" t="str">
        <x:v>NEEDS SCHOOL INPUT</x:v>
      </x:c>
    </x:row>
    <x:row r="12" ht="62" customHeight="1">
      <x:c r="A12" s="123" t="str">
        <x:v>DEC-08</x:v>
      </x:c>
      <x:c r="B12" s="123" t="str">
        <x:v>P0</x:v>
      </x:c>
      <x:c r="C12" s="35" t="str">
        <x:v>Validate outdoor-fire boundary, route, safe zone, and wording.</x:v>
      </x:c>
      <x:c r="D12" s="35" t="str">
        <x:v>Current corpus lacks a complete deployable child-specific BFP/local protocol.</x:v>
      </x:c>
      <x:c r="E12" s="35" t="str">
        <x:v>Keep as non-deployable draft.</x:v>
      </x:c>
      <x:c r="F12" s="35" t="str">
        <x:v>BFP + local DRRMO</x:v>
      </x:c>
      <x:c r="G12" s="35" t="str">
        <x:v>Fire outdoor</x:v>
      </x:c>
      <x:c r="H12" s="35" t="str">
        <x:v>NEEDS EXTERNAL REVIEW</x:v>
      </x:c>
    </x:row>
    <x:row r="13" ht="62" customHeight="1">
      <x:c r="A13" s="123" t="str">
        <x:v>DEC-09</x:v>
      </x:c>
      <x:c r="B13" s="123" t="str">
        <x:v>P1</x:v>
      </x:c>
      <x:c r="C13" s="35" t="str">
        <x:v>Approve fictional NPC names and tone.</x:v>
      </x:c>
      <x:c r="D13" s="35" t="str">
        <x:v>Avoid storing or implying real learner identities; keep Grade 4 language calm.</x:v>
      </x:c>
      <x:c r="E13" s="35" t="str">
        <x:v>Teacher, guardian, and fictional avatar Kiko; no surnames.</x:v>
      </x:c>
      <x:c r="F13" s="35" t="str">
        <x:v>Thesis team + child-safety reviewer</x:v>
      </x:c>
      <x:c r="G13" s="35" t="str">
        <x:v>Narrative/audio</x:v>
      </x:c>
      <x:c r="H13" s="35" t="str">
        <x:v>PROPOSED</x:v>
      </x:c>
    </x:row>
    <x:row r="14" ht="62" customHeight="1">
      <x:c r="A14" s="123" t="str">
        <x:v>DEC-10</x:v>
      </x:c>
      <x:c r="B14" s="123" t="str">
        <x:v>P1</x:v>
      </x:c>
      <x:c r="C14" s="35" t="str">
        <x:v>Approve exact EN/FIL/Taglish critical lines.</x:v>
      </x:c>
      <x:c r="D14" s="35" t="str">
        <x:v>Action order, negation, timing, actor role, and authority must match.</x:v>
      </x:c>
      <x:c r="E14" s="35" t="str">
        <x:v>Use current card packs as draft; external language review before deployment.</x:v>
      </x:c>
      <x:c r="F14" s="35" t="str">
        <x:v>Language reviewer + domain reviewer</x:v>
      </x:c>
      <x:c r="G14" s="35" t="str">
        <x:v>TTS/content</x:v>
      </x:c>
      <x:c r="H14" s="35" t="str">
        <x:v>NEEDS EXTERNAL REVIEW</x:v>
      </x:c>
    </x:row>
    <x:row r="15" ht="62" customHeight="1">
      <x:c r="A15" s="123" t="str">
        <x:v>DEC-11</x:v>
      </x:c>
      <x:c r="B15" s="123" t="str">
        <x:v>P1</x:v>
      </x:c>
      <x:c r="C15" s="35" t="str">
        <x:v>Select which tasks use timers.</x:v>
      </x:c>
      <x:c r="D15" s="35" t="str">
        <x:v>Timers can increase urgency and overwhelm learners if overused.</x:v>
      </x:c>
      <x:c r="E15" s="35" t="str">
        <x:v>No timer for protection learning; consider only evacuation after usability review.</x:v>
      </x:c>
      <x:c r="F15" s="35" t="str">
        <x:v>Thesis team + adviser</x:v>
      </x:c>
      <x:c r="G15" s="35" t="str">
        <x:v>UX/UAT</x:v>
      </x:c>
      <x:c r="H15" s="35" t="str">
        <x:v>PROPOSED</x:v>
      </x:c>
    </x:row>
    <x:row r="16" ht="62" customHeight="1">
      <x:c r="A16" s="123" t="str">
        <x:v>DEC-12</x:v>
      </x:c>
      <x:c r="B16" s="123" t="str">
        <x:v>P1</x:v>
      </x:c>
      <x:c r="C16" s="35" t="str">
        <x:v>Define comfort and intensity limits.</x:v>
      </x:c>
      <x:c r="D16" s="35" t="str">
        <x:v>Grade 4 learners should not receive graphic injury, entrapment, jump scares, or overwhelming audio.</x:v>
      </x:c>
      <x:c r="E16" s="35" t="str">
        <x:v>Stylized low-poly, non-graphic, adjustable volume, pause/recenter.</x:v>
      </x:c>
      <x:c r="F16" s="35" t="str">
        <x:v>Thesis team + school</x:v>
      </x:c>
      <x:c r="G16" s="35" t="str">
        <x:v>All scenes</x:v>
      </x:c>
      <x:c r="H16" s="35" t="str">
        <x:v>PROPOSED</x:v>
      </x:c>
    </x:row>
    <x:row r="17" ht="62" customHeight="1">
      <x:c r="A17" s="123" t="str">
        <x:v>DEC-13</x:v>
      </x:c>
      <x:c r="B17" s="123" t="str">
        <x:v>P1</x:v>
      </x:c>
      <x:c r="C17" s="35" t="str">
        <x:v>Approve minimal dashboard event schema.</x:v>
      </x:c>
      <x:c r="D17" s="35" t="str">
        <x:v>UAT needs evidence without collecting unnecessary child data.</x:v>
      </x:c>
      <x:c r="E17" s="35" t="str">
        <x:v>session_id, scenario/state/protocol IDs, timestamp, latency, completion/error only.</x:v>
      </x:c>
      <x:c r="F17" s="35" t="str">
        <x:v>Thesis team + privacy reviewer</x:v>
      </x:c>
      <x:c r="G17" s="35" t="str">
        <x:v>Dashboard</x:v>
      </x:c>
      <x:c r="H17" s="35" t="str">
        <x:v>PROPOSED</x:v>
      </x:c>
    </x:row>
    <x:row r="18" ht="62" customHeight="1">
      <x:c r="A18" s="124" t="str">
        <x:v>DEC-14</x:v>
      </x:c>
      <x:c r="B18" s="124" t="str">
        <x:v>P2</x:v>
      </x:c>
      <x:c r="C18" s="121" t="str">
        <x:v>Choose optional completion summaries and rewards.</x:v>
      </x:c>
      <x:c r="D18" s="121" t="str">
        <x:v>Encouragement should reinforce process without turning unsafe mistakes into punishment.</x:v>
      </x:c>
      <x:c r="E18" s="121" t="str">
        <x:v>Short badge/summary; no leaderboard or public comparison.</x:v>
      </x:c>
      <x:c r="F18" s="121" t="str">
        <x:v>Thesis team</x:v>
      </x:c>
      <x:c r="G18" s="121" t="str">
        <x:v>UX</x:v>
      </x:c>
      <x:c r="H18" s="121" t="str">
        <x:v>PROPOSED</x:v>
      </x:c>
    </x:row>
  </x:sheetData>
  <x:mergeCells>
    <x:mergeCell ref="A1:K1"/>
    <x:mergeCell ref="A2:K2"/>
  </x:mergeCells>
  <x:conditionalFormatting sqref="B5:B18">
    <x:cfRule type="containsText" dxfId="70" priority="1" operator="containsText" text="P0"/>
    <x:cfRule type="containsText" dxfId="71" priority="2" operator="containsText" text="P1"/>
    <x:cfRule type="containsText" dxfId="72" priority="3" operator="containsText" text="P2"/>
  </x:conditionalFormatting>
  <x:conditionalFormatting sqref="H5:H18">
    <x:cfRule type="containsText" dxfId="73" priority="4" operator="containsText" text="APPROVED"/>
    <x:cfRule type="containsText" dxfId="74" priority="5" operator="containsText" text="SCHOOL"/>
    <x:cfRule type="containsText" dxfId="75" priority="6" operator="containsText" text="EXTERNAL"/>
  </x:conditionalFormatting>
  <x:dataValidations count="2">
    <x:dataValidation type="list" sqref="H5:H18">
      <x:formula1>"PROPOSED,APPROVED,NEEDS SCHOOL INPUT,NEEDS EXTERNAL REVIEW,DEFERRED"</x:formula1>
    </x:dataValidation>
    <x:dataValidation type="list" sqref="B5:B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5c5a340ae0494d"/>
  </x:tableParts>
</x:worksheet>
</file>